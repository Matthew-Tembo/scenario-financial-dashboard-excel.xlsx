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8c6fe8faa0f2e3b/scenario-financial-dashboard-excel/"/>
    </mc:Choice>
  </mc:AlternateContent>
  <xr:revisionPtr revIDLastSave="39" documentId="13_ncr:1_{431D23B6-D200-485C-8B8E-70D5C0D9F921}" xr6:coauthVersionLast="47" xr6:coauthVersionMax="47" xr10:uidLastSave="{E3E577C6-C5DB-41D0-BDEF-DD1C0A33339C}"/>
  <bookViews>
    <workbookView xWindow="-108" yWindow="-108" windowWidth="23256" windowHeight="12456" xr2:uid="{00000000-000D-0000-FFFF-FFFF00000000}"/>
  </bookViews>
  <sheets>
    <sheet name="Dashboard" sheetId="1" r:id="rId1"/>
    <sheet name="Analysis" sheetId="2" r:id="rId2"/>
    <sheet name="Inputs" sheetId="3" r:id="rId3"/>
    <sheet name="Model_PnL" sheetId="4" r:id="rId4"/>
    <sheet name="Forecast Engine" sheetId="5" r:id="rId5"/>
    <sheet name="Raw_Sales" sheetId="6" r:id="rId6"/>
    <sheet name="Raw_Opex" sheetId="7" r:id="rId7"/>
    <sheet name="Agg_Monthly" sheetId="8" r:id="rId8"/>
    <sheet name="Agg_Opex" sheetId="9" r:id="rId9"/>
    <sheet name="README" sheetId="10" r:id="rId1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4" i="5" s="1"/>
  <c r="O54" i="4"/>
  <c r="M54" i="4"/>
  <c r="O53" i="4"/>
  <c r="M53" i="4"/>
  <c r="O52" i="4"/>
  <c r="M52" i="4"/>
  <c r="O51" i="4"/>
  <c r="M51" i="4"/>
  <c r="O50" i="4"/>
  <c r="M50" i="4"/>
  <c r="O49" i="4"/>
  <c r="M49" i="4"/>
  <c r="O48" i="4"/>
  <c r="M48" i="4"/>
  <c r="O47" i="4"/>
  <c r="M47" i="4"/>
  <c r="O46" i="4"/>
  <c r="M46" i="4"/>
  <c r="O45" i="4"/>
  <c r="M45" i="4"/>
  <c r="O44" i="4"/>
  <c r="M44" i="4"/>
  <c r="O43" i="4"/>
  <c r="M43" i="4"/>
  <c r="P42" i="4"/>
  <c r="N42" i="4"/>
  <c r="I42" i="4"/>
  <c r="H42" i="4"/>
  <c r="G42" i="4"/>
  <c r="D42" i="4"/>
  <c r="C42" i="4"/>
  <c r="M42" i="4" s="1"/>
  <c r="P41" i="4"/>
  <c r="N41" i="4"/>
  <c r="I41" i="4"/>
  <c r="H41" i="4"/>
  <c r="G41" i="4"/>
  <c r="D41" i="4"/>
  <c r="C41" i="4"/>
  <c r="M41" i="4" s="1"/>
  <c r="P40" i="4"/>
  <c r="N40" i="4"/>
  <c r="I40" i="4"/>
  <c r="H40" i="4"/>
  <c r="G40" i="4"/>
  <c r="D40" i="4"/>
  <c r="C40" i="4"/>
  <c r="M40" i="4" s="1"/>
  <c r="P39" i="4"/>
  <c r="N39" i="4"/>
  <c r="I39" i="4"/>
  <c r="H39" i="4"/>
  <c r="G39" i="4"/>
  <c r="D39" i="4"/>
  <c r="C39" i="4"/>
  <c r="P38" i="4"/>
  <c r="N38" i="4"/>
  <c r="I38" i="4"/>
  <c r="H38" i="4"/>
  <c r="G38" i="4"/>
  <c r="D38" i="4"/>
  <c r="C38" i="4"/>
  <c r="P37" i="4"/>
  <c r="N37" i="4"/>
  <c r="I37" i="4"/>
  <c r="H37" i="4"/>
  <c r="G37" i="4"/>
  <c r="D37" i="4"/>
  <c r="C37" i="4"/>
  <c r="P36" i="4"/>
  <c r="N36" i="4"/>
  <c r="I36" i="4"/>
  <c r="H36" i="4"/>
  <c r="G36" i="4"/>
  <c r="D36" i="4"/>
  <c r="C36" i="4"/>
  <c r="M36" i="4" s="1"/>
  <c r="P35" i="4"/>
  <c r="N35" i="4"/>
  <c r="I35" i="4"/>
  <c r="H35" i="4"/>
  <c r="G35" i="4"/>
  <c r="D35" i="4"/>
  <c r="C35" i="4"/>
  <c r="M35" i="4" s="1"/>
  <c r="P34" i="4"/>
  <c r="N34" i="4"/>
  <c r="I34" i="4"/>
  <c r="H34" i="4"/>
  <c r="G34" i="4"/>
  <c r="D34" i="4"/>
  <c r="C34" i="4"/>
  <c r="M34" i="4" s="1"/>
  <c r="P33" i="4"/>
  <c r="N33" i="4"/>
  <c r="I33" i="4"/>
  <c r="H33" i="4"/>
  <c r="G33" i="4"/>
  <c r="D33" i="4"/>
  <c r="C33" i="4"/>
  <c r="P32" i="4"/>
  <c r="N32" i="4"/>
  <c r="I32" i="4"/>
  <c r="H32" i="4"/>
  <c r="G32" i="4"/>
  <c r="D32" i="4"/>
  <c r="C32" i="4"/>
  <c r="M32" i="4" s="1"/>
  <c r="P31" i="4"/>
  <c r="N31" i="4"/>
  <c r="I31" i="4"/>
  <c r="H31" i="4"/>
  <c r="G31" i="4"/>
  <c r="D31" i="4"/>
  <c r="C31" i="4"/>
  <c r="P30" i="4"/>
  <c r="N30" i="4"/>
  <c r="I30" i="4"/>
  <c r="H30" i="4"/>
  <c r="G30" i="4"/>
  <c r="D30" i="4"/>
  <c r="C30" i="4"/>
  <c r="P29" i="4"/>
  <c r="N29" i="4"/>
  <c r="I29" i="4"/>
  <c r="H29" i="4"/>
  <c r="G29" i="4"/>
  <c r="D29" i="4"/>
  <c r="C29" i="4"/>
  <c r="P28" i="4"/>
  <c r="N28" i="4"/>
  <c r="I28" i="4"/>
  <c r="H28" i="4"/>
  <c r="G28" i="4"/>
  <c r="D28" i="4"/>
  <c r="C28" i="4"/>
  <c r="M28" i="4" s="1"/>
  <c r="P27" i="4"/>
  <c r="N27" i="4"/>
  <c r="I27" i="4"/>
  <c r="H27" i="4"/>
  <c r="G27" i="4"/>
  <c r="D27" i="4"/>
  <c r="C27" i="4"/>
  <c r="M27" i="4" s="1"/>
  <c r="P26" i="4"/>
  <c r="N26" i="4"/>
  <c r="I26" i="4"/>
  <c r="H26" i="4"/>
  <c r="G26" i="4"/>
  <c r="D26" i="4"/>
  <c r="C26" i="4"/>
  <c r="M26" i="4" s="1"/>
  <c r="P25" i="4"/>
  <c r="N25" i="4"/>
  <c r="I25" i="4"/>
  <c r="H25" i="4"/>
  <c r="G25" i="4"/>
  <c r="D25" i="4"/>
  <c r="C25" i="4"/>
  <c r="P24" i="4"/>
  <c r="N24" i="4"/>
  <c r="I24" i="4"/>
  <c r="H24" i="4"/>
  <c r="G24" i="4"/>
  <c r="D24" i="4"/>
  <c r="C24" i="4"/>
  <c r="P23" i="4"/>
  <c r="N23" i="4"/>
  <c r="I23" i="4"/>
  <c r="H23" i="4"/>
  <c r="G23" i="4"/>
  <c r="D23" i="4"/>
  <c r="C23" i="4"/>
  <c r="P22" i="4"/>
  <c r="N22" i="4"/>
  <c r="I22" i="4"/>
  <c r="H22" i="4"/>
  <c r="G22" i="4"/>
  <c r="D22" i="4"/>
  <c r="C22" i="4"/>
  <c r="P21" i="4"/>
  <c r="N21" i="4"/>
  <c r="I21" i="4"/>
  <c r="H21" i="4"/>
  <c r="G21" i="4"/>
  <c r="D21" i="4"/>
  <c r="C21" i="4"/>
  <c r="P20" i="4"/>
  <c r="N20" i="4"/>
  <c r="I20" i="4"/>
  <c r="H20" i="4"/>
  <c r="G20" i="4"/>
  <c r="D20" i="4"/>
  <c r="C20" i="4"/>
  <c r="M20" i="4" s="1"/>
  <c r="P19" i="4"/>
  <c r="N19" i="4"/>
  <c r="I19" i="4"/>
  <c r="H19" i="4"/>
  <c r="G19" i="4"/>
  <c r="D19" i="4"/>
  <c r="C19" i="4"/>
  <c r="M19" i="4" s="1"/>
  <c r="P18" i="4"/>
  <c r="N18" i="4"/>
  <c r="I18" i="4"/>
  <c r="H18" i="4"/>
  <c r="G18" i="4"/>
  <c r="D18" i="4"/>
  <c r="C18" i="4"/>
  <c r="M18" i="4" s="1"/>
  <c r="P17" i="4"/>
  <c r="N17" i="4"/>
  <c r="I17" i="4"/>
  <c r="H17" i="4"/>
  <c r="G17" i="4"/>
  <c r="D17" i="4"/>
  <c r="C17" i="4"/>
  <c r="M17" i="4" s="1"/>
  <c r="P16" i="4"/>
  <c r="N16" i="4"/>
  <c r="I16" i="4"/>
  <c r="H16" i="4"/>
  <c r="G16" i="4"/>
  <c r="D16" i="4"/>
  <c r="C16" i="4"/>
  <c r="P15" i="4"/>
  <c r="N15" i="4"/>
  <c r="I15" i="4"/>
  <c r="H15" i="4"/>
  <c r="G15" i="4"/>
  <c r="D15" i="4"/>
  <c r="C15" i="4"/>
  <c r="P14" i="4"/>
  <c r="N14" i="4"/>
  <c r="I14" i="4"/>
  <c r="H14" i="4"/>
  <c r="G14" i="4"/>
  <c r="D14" i="4"/>
  <c r="C14" i="4"/>
  <c r="P13" i="4"/>
  <c r="N13" i="4"/>
  <c r="I13" i="4"/>
  <c r="H13" i="4"/>
  <c r="G13" i="4"/>
  <c r="D13" i="4"/>
  <c r="C13" i="4"/>
  <c r="P12" i="4"/>
  <c r="N12" i="4"/>
  <c r="I12" i="4"/>
  <c r="H12" i="4"/>
  <c r="G12" i="4"/>
  <c r="D12" i="4"/>
  <c r="C12" i="4"/>
  <c r="M12" i="4" s="1"/>
  <c r="P11" i="4"/>
  <c r="N11" i="4"/>
  <c r="I11" i="4"/>
  <c r="H11" i="4"/>
  <c r="G11" i="4"/>
  <c r="D11" i="4"/>
  <c r="C11" i="4"/>
  <c r="M11" i="4" s="1"/>
  <c r="P10" i="4"/>
  <c r="N10" i="4"/>
  <c r="I10" i="4"/>
  <c r="H10" i="4"/>
  <c r="G10" i="4"/>
  <c r="D10" i="4"/>
  <c r="C10" i="4"/>
  <c r="M10" i="4" s="1"/>
  <c r="P9" i="4"/>
  <c r="N9" i="4"/>
  <c r="I9" i="4"/>
  <c r="H9" i="4"/>
  <c r="G9" i="4"/>
  <c r="D9" i="4"/>
  <c r="C9" i="4"/>
  <c r="Q8" i="4"/>
  <c r="P8" i="4"/>
  <c r="N8" i="4"/>
  <c r="I8" i="4"/>
  <c r="H8" i="4"/>
  <c r="G8" i="4"/>
  <c r="D8" i="4"/>
  <c r="C8" i="4"/>
  <c r="Q7" i="4"/>
  <c r="P7" i="4"/>
  <c r="N7" i="4"/>
  <c r="I7" i="4"/>
  <c r="H7" i="4"/>
  <c r="G7" i="4"/>
  <c r="D7" i="4"/>
  <c r="C7" i="4"/>
  <c r="C5" i="3"/>
  <c r="H11" i="2"/>
  <c r="H10" i="2"/>
  <c r="H9" i="2"/>
  <c r="B7" i="2"/>
  <c r="L7" i="2" s="1"/>
  <c r="Q10" i="4" l="1"/>
  <c r="J16" i="4"/>
  <c r="E25" i="4"/>
  <c r="F25" i="4" s="1"/>
  <c r="L6" i="2"/>
  <c r="J8" i="4"/>
  <c r="J9" i="4"/>
  <c r="E41" i="4"/>
  <c r="K41" i="4" s="1"/>
  <c r="O41" i="4" s="1"/>
  <c r="J32" i="4"/>
  <c r="Q41" i="4"/>
  <c r="J10" i="4"/>
  <c r="J19" i="4"/>
  <c r="J37" i="4"/>
  <c r="Q18" i="4"/>
  <c r="Q17" i="4"/>
  <c r="E17" i="4"/>
  <c r="K17" i="4" s="1"/>
  <c r="Q26" i="4"/>
  <c r="J30" i="4"/>
  <c r="I6" i="5"/>
  <c r="Q38" i="4"/>
  <c r="Q39" i="4"/>
  <c r="J39" i="4"/>
  <c r="M8" i="4"/>
  <c r="E16" i="4"/>
  <c r="K16" i="4" s="1"/>
  <c r="J17" i="4"/>
  <c r="J38" i="4"/>
  <c r="J7" i="4"/>
  <c r="J29" i="4"/>
  <c r="Q34" i="4"/>
  <c r="Q35" i="4"/>
  <c r="J35" i="4"/>
  <c r="J36" i="4"/>
  <c r="I5" i="5"/>
  <c r="J13" i="4"/>
  <c r="M25" i="4"/>
  <c r="Q33" i="4"/>
  <c r="E32" i="4"/>
  <c r="K32" i="4" s="1"/>
  <c r="E9" i="4"/>
  <c r="K9" i="4" s="1"/>
  <c r="J11" i="4"/>
  <c r="J21" i="4"/>
  <c r="Q30" i="4"/>
  <c r="Q28" i="4"/>
  <c r="J33" i="4"/>
  <c r="J40" i="4"/>
  <c r="A15" i="1"/>
  <c r="J14" i="4"/>
  <c r="J15" i="4"/>
  <c r="E19" i="4"/>
  <c r="K19" i="4" s="1"/>
  <c r="E20" i="4"/>
  <c r="F20" i="4" s="1"/>
  <c r="Q21" i="4"/>
  <c r="Q25" i="4"/>
  <c r="J41" i="4"/>
  <c r="J42" i="4"/>
  <c r="E24" i="4"/>
  <c r="F24" i="4" s="1"/>
  <c r="E8" i="4"/>
  <c r="K8" i="4" s="1"/>
  <c r="M9" i="4"/>
  <c r="M16" i="4"/>
  <c r="J18" i="4"/>
  <c r="J20" i="4"/>
  <c r="J23" i="4"/>
  <c r="J24" i="4"/>
  <c r="E28" i="4"/>
  <c r="F28" i="4" s="1"/>
  <c r="Q29" i="4"/>
  <c r="M33" i="4"/>
  <c r="Q20" i="4"/>
  <c r="B8" i="2"/>
  <c r="A13" i="1" s="1"/>
  <c r="Q14" i="4"/>
  <c r="J22" i="4"/>
  <c r="Q36" i="4"/>
  <c r="Q42" i="4"/>
  <c r="Q12" i="4"/>
  <c r="J25" i="4"/>
  <c r="J26" i="4"/>
  <c r="E36" i="4"/>
  <c r="F36" i="4" s="1"/>
  <c r="E12" i="4"/>
  <c r="F12" i="4" s="1"/>
  <c r="Q15" i="4"/>
  <c r="Q13" i="4"/>
  <c r="M24" i="4"/>
  <c r="J31" i="4"/>
  <c r="E33" i="4"/>
  <c r="E35" i="4"/>
  <c r="F35" i="4" s="1"/>
  <c r="E40" i="4"/>
  <c r="K40" i="4" s="1"/>
  <c r="C22" i="5"/>
  <c r="J12" i="4"/>
  <c r="E16" i="2"/>
  <c r="J34" i="4"/>
  <c r="E17" i="3"/>
  <c r="E15" i="3"/>
  <c r="B8" i="5" s="1"/>
  <c r="E16" i="3"/>
  <c r="E14" i="3"/>
  <c r="B7" i="5" s="1"/>
  <c r="E12" i="3"/>
  <c r="B5" i="5" s="1"/>
  <c r="E13" i="3"/>
  <c r="B6" i="5" s="1"/>
  <c r="B12" i="2"/>
  <c r="Q40" i="4"/>
  <c r="M38" i="4"/>
  <c r="E38" i="4"/>
  <c r="E14" i="2"/>
  <c r="Q16" i="4"/>
  <c r="M14" i="4"/>
  <c r="E14" i="4"/>
  <c r="Q31" i="4"/>
  <c r="Q22" i="4"/>
  <c r="J27" i="4"/>
  <c r="Q32" i="4"/>
  <c r="M30" i="4"/>
  <c r="E30" i="4"/>
  <c r="J28" i="4"/>
  <c r="Q24" i="4"/>
  <c r="M22" i="4"/>
  <c r="E22" i="4"/>
  <c r="Q23" i="4"/>
  <c r="Q37" i="4"/>
  <c r="C11" i="5"/>
  <c r="C15" i="5"/>
  <c r="C19" i="5"/>
  <c r="E7" i="4"/>
  <c r="M7" i="4"/>
  <c r="Q11" i="4"/>
  <c r="E15" i="4"/>
  <c r="M15" i="4"/>
  <c r="Q19" i="4"/>
  <c r="E23" i="4"/>
  <c r="M23" i="4"/>
  <c r="Q27" i="4"/>
  <c r="E31" i="4"/>
  <c r="M31" i="4"/>
  <c r="E39" i="4"/>
  <c r="M39" i="4"/>
  <c r="C12" i="5"/>
  <c r="C16" i="5"/>
  <c r="C20" i="5"/>
  <c r="Q9" i="4"/>
  <c r="E13" i="4"/>
  <c r="M13" i="4"/>
  <c r="E21" i="4"/>
  <c r="M21" i="4"/>
  <c r="E29" i="4"/>
  <c r="M29" i="4"/>
  <c r="E37" i="4"/>
  <c r="M37" i="4"/>
  <c r="C13" i="5"/>
  <c r="C17" i="5"/>
  <c r="C21" i="5"/>
  <c r="E11" i="4"/>
  <c r="E27" i="4"/>
  <c r="C14" i="5"/>
  <c r="C18" i="5"/>
  <c r="E18" i="5" s="1"/>
  <c r="E10" i="4"/>
  <c r="E18" i="4"/>
  <c r="E26" i="4"/>
  <c r="E34" i="4"/>
  <c r="E42" i="4"/>
  <c r="K25" i="4" l="1"/>
  <c r="L25" i="4" s="1"/>
  <c r="E12" i="5"/>
  <c r="G12" i="5" s="1"/>
  <c r="G44" i="4" s="1"/>
  <c r="E11" i="5"/>
  <c r="G11" i="5" s="1"/>
  <c r="G43" i="4" s="1"/>
  <c r="F40" i="4"/>
  <c r="L41" i="4"/>
  <c r="F8" i="4"/>
  <c r="H21" i="5"/>
  <c r="H53" i="4" s="1"/>
  <c r="F32" i="4"/>
  <c r="K24" i="4"/>
  <c r="O24" i="4" s="1"/>
  <c r="O17" i="4"/>
  <c r="L17" i="4"/>
  <c r="F41" i="4"/>
  <c r="F16" i="4"/>
  <c r="F17" i="4"/>
  <c r="H14" i="5"/>
  <c r="H46" i="4" s="1"/>
  <c r="I21" i="5"/>
  <c r="I53" i="4" s="1"/>
  <c r="E17" i="5"/>
  <c r="G17" i="5" s="1"/>
  <c r="G49" i="4" s="1"/>
  <c r="E13" i="5"/>
  <c r="C45" i="4" s="1"/>
  <c r="F19" i="4"/>
  <c r="E14" i="5"/>
  <c r="C46" i="4" s="1"/>
  <c r="E16" i="5"/>
  <c r="G16" i="5" s="1"/>
  <c r="G48" i="4" s="1"/>
  <c r="K28" i="4"/>
  <c r="O28" i="4" s="1"/>
  <c r="E21" i="5"/>
  <c r="C53" i="4" s="1"/>
  <c r="K36" i="4"/>
  <c r="O36" i="4" s="1"/>
  <c r="O9" i="4"/>
  <c r="L9" i="4"/>
  <c r="I19" i="5"/>
  <c r="I51" i="4" s="1"/>
  <c r="H19" i="5"/>
  <c r="H51" i="4" s="1"/>
  <c r="F9" i="4"/>
  <c r="H17" i="5"/>
  <c r="H49" i="4" s="1"/>
  <c r="K33" i="4"/>
  <c r="F33" i="4"/>
  <c r="K35" i="4"/>
  <c r="L35" i="4" s="1"/>
  <c r="K20" i="4"/>
  <c r="O20" i="4" s="1"/>
  <c r="K12" i="4"/>
  <c r="L12" i="4" s="1"/>
  <c r="H13" i="5"/>
  <c r="H45" i="4" s="1"/>
  <c r="I17" i="5"/>
  <c r="I49" i="4" s="1"/>
  <c r="F13" i="4"/>
  <c r="K13" i="4"/>
  <c r="F15" i="4"/>
  <c r="K15" i="4"/>
  <c r="L19" i="4"/>
  <c r="O19" i="4"/>
  <c r="I14" i="5"/>
  <c r="I46" i="4" s="1"/>
  <c r="F27" i="4"/>
  <c r="K27" i="4"/>
  <c r="F29" i="4"/>
  <c r="K29" i="4"/>
  <c r="E15" i="2"/>
  <c r="F31" i="4"/>
  <c r="K31" i="4"/>
  <c r="O32" i="4"/>
  <c r="L32" i="4"/>
  <c r="H18" i="5"/>
  <c r="H50" i="4" s="1"/>
  <c r="H12" i="5"/>
  <c r="H44" i="4" s="1"/>
  <c r="I18" i="5"/>
  <c r="I50" i="4" s="1"/>
  <c r="K42" i="4"/>
  <c r="F42" i="4"/>
  <c r="B9" i="2" s="1"/>
  <c r="E13" i="1" s="1"/>
  <c r="F11" i="4"/>
  <c r="K11" i="4"/>
  <c r="F7" i="4"/>
  <c r="K7" i="4"/>
  <c r="O40" i="4"/>
  <c r="L40" i="4"/>
  <c r="F38" i="4"/>
  <c r="K38" i="4"/>
  <c r="H22" i="5"/>
  <c r="H54" i="4" s="1"/>
  <c r="H16" i="5"/>
  <c r="H48" i="4" s="1"/>
  <c r="I12" i="5"/>
  <c r="I44" i="4" s="1"/>
  <c r="I22" i="5"/>
  <c r="I54" i="4" s="1"/>
  <c r="F37" i="4"/>
  <c r="K37" i="4"/>
  <c r="F39" i="4"/>
  <c r="K39" i="4"/>
  <c r="K34" i="4"/>
  <c r="F34" i="4"/>
  <c r="F21" i="4"/>
  <c r="K21" i="4"/>
  <c r="E20" i="5"/>
  <c r="E19" i="5"/>
  <c r="H11" i="5"/>
  <c r="H43" i="4" s="1"/>
  <c r="H20" i="5"/>
  <c r="H52" i="4" s="1"/>
  <c r="I16" i="5"/>
  <c r="I48" i="4" s="1"/>
  <c r="I11" i="5"/>
  <c r="I43" i="4" s="1"/>
  <c r="C50" i="4"/>
  <c r="G18" i="5"/>
  <c r="G50" i="4" s="1"/>
  <c r="K26" i="4"/>
  <c r="F26" i="4"/>
  <c r="F23" i="4"/>
  <c r="K23" i="4"/>
  <c r="E15" i="5"/>
  <c r="F22" i="4"/>
  <c r="K22" i="4"/>
  <c r="F30" i="4"/>
  <c r="K30" i="4"/>
  <c r="O8" i="4"/>
  <c r="L8" i="4"/>
  <c r="H15" i="5"/>
  <c r="H47" i="4" s="1"/>
  <c r="I20" i="5"/>
  <c r="I52" i="4" s="1"/>
  <c r="I15" i="5"/>
  <c r="I47" i="4" s="1"/>
  <c r="O16" i="4"/>
  <c r="L16" i="4"/>
  <c r="D22" i="5"/>
  <c r="D18" i="5"/>
  <c r="D14" i="5"/>
  <c r="D19" i="5"/>
  <c r="D21" i="5"/>
  <c r="D17" i="5"/>
  <c r="D13" i="5"/>
  <c r="D15" i="5"/>
  <c r="D20" i="5"/>
  <c r="D16" i="5"/>
  <c r="D12" i="5"/>
  <c r="D11" i="5"/>
  <c r="I13" i="5"/>
  <c r="I45" i="4" s="1"/>
  <c r="K18" i="4"/>
  <c r="F18" i="4"/>
  <c r="K10" i="4"/>
  <c r="F10" i="4"/>
  <c r="F14" i="4"/>
  <c r="K14" i="4"/>
  <c r="E22" i="5"/>
  <c r="O25" i="4" l="1"/>
  <c r="L36" i="4"/>
  <c r="C44" i="4"/>
  <c r="Q46" i="4" s="1"/>
  <c r="C43" i="4"/>
  <c r="N43" i="4" s="1"/>
  <c r="L24" i="4"/>
  <c r="G21" i="5"/>
  <c r="G53" i="4" s="1"/>
  <c r="J53" i="4" s="1"/>
  <c r="G14" i="5"/>
  <c r="G46" i="4" s="1"/>
  <c r="J46" i="4" s="1"/>
  <c r="C48" i="4"/>
  <c r="N48" i="4" s="1"/>
  <c r="C49" i="4"/>
  <c r="N49" i="4" s="1"/>
  <c r="L20" i="4"/>
  <c r="G13" i="5"/>
  <c r="G45" i="4" s="1"/>
  <c r="J45" i="4" s="1"/>
  <c r="O35" i="4"/>
  <c r="L28" i="4"/>
  <c r="J49" i="4"/>
  <c r="O12" i="4"/>
  <c r="L33" i="4"/>
  <c r="O33" i="4"/>
  <c r="L10" i="4"/>
  <c r="O10" i="4"/>
  <c r="O30" i="4"/>
  <c r="L30" i="4"/>
  <c r="J48" i="4"/>
  <c r="G19" i="5"/>
  <c r="G51" i="4" s="1"/>
  <c r="J51" i="4" s="1"/>
  <c r="C51" i="4"/>
  <c r="J44" i="4"/>
  <c r="O13" i="4"/>
  <c r="L13" i="4"/>
  <c r="O14" i="4"/>
  <c r="L14" i="4"/>
  <c r="N50" i="4"/>
  <c r="O21" i="4"/>
  <c r="L21" i="4"/>
  <c r="L11" i="4"/>
  <c r="O11" i="4"/>
  <c r="L27" i="4"/>
  <c r="O27" i="4"/>
  <c r="L26" i="4"/>
  <c r="O26" i="4"/>
  <c r="J50" i="4"/>
  <c r="O7" i="4"/>
  <c r="L7" i="4"/>
  <c r="O29" i="4"/>
  <c r="L29" i="4"/>
  <c r="L18" i="4"/>
  <c r="O18" i="4"/>
  <c r="B15" i="2"/>
  <c r="O22" i="4"/>
  <c r="L22" i="4"/>
  <c r="G20" i="5"/>
  <c r="G52" i="4" s="1"/>
  <c r="J52" i="4" s="1"/>
  <c r="C52" i="4"/>
  <c r="L34" i="4"/>
  <c r="O34" i="4"/>
  <c r="N46" i="4"/>
  <c r="G15" i="5"/>
  <c r="G47" i="4" s="1"/>
  <c r="J47" i="4" s="1"/>
  <c r="C47" i="4"/>
  <c r="O31" i="4"/>
  <c r="B13" i="2"/>
  <c r="B14" i="2"/>
  <c r="L31" i="4"/>
  <c r="C54" i="4"/>
  <c r="G22" i="5"/>
  <c r="G54" i="4" s="1"/>
  <c r="J54" i="4" s="1"/>
  <c r="J43" i="4"/>
  <c r="O23" i="4"/>
  <c r="L23" i="4"/>
  <c r="O39" i="4"/>
  <c r="L39" i="4"/>
  <c r="O38" i="4"/>
  <c r="L38" i="4"/>
  <c r="I4" i="5"/>
  <c r="N45" i="4"/>
  <c r="N53" i="4"/>
  <c r="L42" i="4"/>
  <c r="B10" i="2" s="1"/>
  <c r="O42" i="4"/>
  <c r="B11" i="2" s="1"/>
  <c r="I13" i="1" s="1"/>
  <c r="O15" i="4"/>
  <c r="L15" i="4"/>
  <c r="O37" i="4"/>
  <c r="L37" i="4"/>
  <c r="Q43" i="4" l="1"/>
  <c r="Q44" i="4"/>
  <c r="Q45" i="4"/>
  <c r="N44" i="4"/>
  <c r="Q50" i="4"/>
  <c r="E17" i="2"/>
  <c r="Q49" i="4"/>
  <c r="N47" i="4"/>
  <c r="N51" i="4"/>
  <c r="Q53" i="4"/>
  <c r="Q47" i="4"/>
  <c r="Q51" i="4"/>
  <c r="Q48" i="4"/>
  <c r="Q54" i="4"/>
  <c r="N52" i="4"/>
  <c r="N54" i="4"/>
  <c r="K22" i="5"/>
  <c r="F22" i="5" s="1"/>
  <c r="K18" i="5"/>
  <c r="F18" i="5" s="1"/>
  <c r="K14" i="5"/>
  <c r="F14" i="5" s="1"/>
  <c r="K21" i="5"/>
  <c r="F21" i="5" s="1"/>
  <c r="K17" i="5"/>
  <c r="F17" i="5" s="1"/>
  <c r="K13" i="5"/>
  <c r="F13" i="5" s="1"/>
  <c r="K20" i="5"/>
  <c r="F20" i="5" s="1"/>
  <c r="K16" i="5"/>
  <c r="F16" i="5" s="1"/>
  <c r="K12" i="5"/>
  <c r="F12" i="5" s="1"/>
  <c r="K19" i="5"/>
  <c r="F19" i="5" s="1"/>
  <c r="K15" i="5"/>
  <c r="F15" i="5" s="1"/>
  <c r="K11" i="5"/>
  <c r="F11" i="5" s="1"/>
  <c r="Q52" i="4"/>
  <c r="D46" i="4" l="1"/>
  <c r="E46" i="4" s="1"/>
  <c r="J14" i="5"/>
  <c r="L14" i="5" s="1"/>
  <c r="D50" i="4"/>
  <c r="E50" i="4" s="1"/>
  <c r="J18" i="5"/>
  <c r="L18" i="5" s="1"/>
  <c r="D44" i="4"/>
  <c r="E44" i="4" s="1"/>
  <c r="J12" i="5"/>
  <c r="L12" i="5" s="1"/>
  <c r="D45" i="4"/>
  <c r="E45" i="4" s="1"/>
  <c r="J13" i="5"/>
  <c r="L13" i="5" s="1"/>
  <c r="D47" i="4"/>
  <c r="E47" i="4" s="1"/>
  <c r="J15" i="5"/>
  <c r="L15" i="5" s="1"/>
  <c r="D51" i="4"/>
  <c r="E51" i="4" s="1"/>
  <c r="J19" i="5"/>
  <c r="L19" i="5" s="1"/>
  <c r="D54" i="4"/>
  <c r="E54" i="4" s="1"/>
  <c r="J22" i="5"/>
  <c r="L22" i="5" s="1"/>
  <c r="D52" i="4"/>
  <c r="E52" i="4" s="1"/>
  <c r="J20" i="5"/>
  <c r="L20" i="5" s="1"/>
  <c r="D49" i="4"/>
  <c r="E49" i="4" s="1"/>
  <c r="J17" i="5"/>
  <c r="L17" i="5" s="1"/>
  <c r="D48" i="4"/>
  <c r="E48" i="4" s="1"/>
  <c r="J16" i="5"/>
  <c r="L16" i="5" s="1"/>
  <c r="D43" i="4"/>
  <c r="E43" i="4" s="1"/>
  <c r="J11" i="5"/>
  <c r="D53" i="4"/>
  <c r="E53" i="4" s="1"/>
  <c r="J21" i="5"/>
  <c r="L21" i="5" s="1"/>
  <c r="K49" i="4" l="1"/>
  <c r="F49" i="4"/>
  <c r="F53" i="4"/>
  <c r="K53" i="4"/>
  <c r="F45" i="4"/>
  <c r="K45" i="4"/>
  <c r="B17" i="2"/>
  <c r="B16" i="2"/>
  <c r="L11" i="5"/>
  <c r="F43" i="4"/>
  <c r="K43" i="4"/>
  <c r="F54" i="4"/>
  <c r="K54" i="4"/>
  <c r="F44" i="4"/>
  <c r="K44" i="4"/>
  <c r="F47" i="4"/>
  <c r="K47" i="4"/>
  <c r="F52" i="4"/>
  <c r="K52" i="4"/>
  <c r="F46" i="4"/>
  <c r="K46" i="4"/>
  <c r="K48" i="4"/>
  <c r="F48" i="4"/>
  <c r="F51" i="4"/>
  <c r="K51" i="4"/>
  <c r="K50" i="4"/>
  <c r="F50" i="4"/>
  <c r="P48" i="4" l="1"/>
  <c r="L48" i="4"/>
  <c r="P46" i="4"/>
  <c r="L46" i="4"/>
  <c r="P54" i="4"/>
  <c r="L54" i="4"/>
  <c r="P53" i="4"/>
  <c r="L53" i="4"/>
  <c r="L52" i="4"/>
  <c r="P52" i="4"/>
  <c r="L43" i="4"/>
  <c r="P43" i="4"/>
  <c r="L50" i="4"/>
  <c r="P50" i="4"/>
  <c r="L44" i="4"/>
  <c r="P44" i="4"/>
  <c r="P45" i="4"/>
  <c r="L45" i="4"/>
  <c r="L51" i="4"/>
  <c r="P51" i="4"/>
  <c r="P47" i="4"/>
  <c r="L47" i="4"/>
  <c r="L49" i="4"/>
  <c r="P49" i="4"/>
</calcChain>
</file>

<file path=xl/sharedStrings.xml><?xml version="1.0" encoding="utf-8"?>
<sst xmlns="http://schemas.openxmlformats.org/spreadsheetml/2006/main" count="5637" uniqueCount="164">
  <si>
    <t>TTM Revenue</t>
  </si>
  <si>
    <t>TTM EBITDA</t>
  </si>
  <si>
    <t>TTM EBITDA Margin</t>
  </si>
  <si>
    <t>Trailing 12 months</t>
  </si>
  <si>
    <t>Latest Month Revenue</t>
  </si>
  <si>
    <t>Latest Gross Margin</t>
  </si>
  <si>
    <t>Latest CAC</t>
  </si>
  <si>
    <t>Next 12m Forecast Revenue</t>
  </si>
  <si>
    <t>Next 12m Forecast EBITDA</t>
  </si>
  <si>
    <t>Forecast EBITDA Margin</t>
  </si>
  <si>
    <t>Analysis Hub — KPI calculations, mix breakdowns, and insight drivers</t>
  </si>
  <si>
    <t>Core KPIs (based on latest actuals and trailing 12 months)</t>
  </si>
  <si>
    <t>KPI</t>
  </si>
  <si>
    <t>Value</t>
  </si>
  <si>
    <t>TTM Revenue Mix</t>
  </si>
  <si>
    <t>TTM Start</t>
  </si>
  <si>
    <t>Latest Actual Month</t>
  </si>
  <si>
    <t>By Region</t>
  </si>
  <si>
    <t>By Channel</t>
  </si>
  <si>
    <t>Share</t>
  </si>
  <si>
    <t>TTM End</t>
  </si>
  <si>
    <t>Region</t>
  </si>
  <si>
    <t>Revenue</t>
  </si>
  <si>
    <t>Channel</t>
  </si>
  <si>
    <t>North America</t>
  </si>
  <si>
    <t>Online DTC</t>
  </si>
  <si>
    <t>Latest EBITDA Margin</t>
  </si>
  <si>
    <t>Europe</t>
  </si>
  <si>
    <t>Marketplace</t>
  </si>
  <si>
    <t>APAC</t>
  </si>
  <si>
    <t>Wholesale</t>
  </si>
  <si>
    <t>LATAM</t>
  </si>
  <si>
    <t>Growth &amp; Efficiency Signals</t>
  </si>
  <si>
    <t>TTM Revenue Growth vs Prior 12m</t>
  </si>
  <si>
    <t>TTM Gross Margin</t>
  </si>
  <si>
    <t>TTM Marketing % of Revenue</t>
  </si>
  <si>
    <t>TTM CAC Trend (last 6m vs prior 6m)</t>
  </si>
  <si>
    <t>Assumptions &amp; Scenarios</t>
  </si>
  <si>
    <t>Scenario</t>
  </si>
  <si>
    <t>Upside</t>
  </si>
  <si>
    <t>Scenario #</t>
  </si>
  <si>
    <t>Model Currency</t>
  </si>
  <si>
    <t>USD</t>
  </si>
  <si>
    <t>Blue text = user inputs
Green text = links
Purple = logic
Black = formulas</t>
  </si>
  <si>
    <t>Select scenario in B4</t>
  </si>
  <si>
    <t>Scenario List</t>
  </si>
  <si>
    <t>Base</t>
  </si>
  <si>
    <t>Downside</t>
  </si>
  <si>
    <t>Assumption</t>
  </si>
  <si>
    <t>Active</t>
  </si>
  <si>
    <t>Revenue uplift vs baseline (next 12m)</t>
  </si>
  <si>
    <t>Gross margin shift (bps)</t>
  </si>
  <si>
    <t>Marketing spend (% of revenue)</t>
  </si>
  <si>
    <t>Operating expense growth (annual)</t>
  </si>
  <si>
    <t>Price change (annual)</t>
  </si>
  <si>
    <t>Unit volume change (annual)</t>
  </si>
  <si>
    <t>Monthly P&amp;L, KPIs, and Trend Metrics</t>
  </si>
  <si>
    <t>Actuals: Mar-2023 to Feb-2026 | Forecast: Mar-2026 to Feb-2027 (scenario-driven)</t>
  </si>
  <si>
    <t>Month</t>
  </si>
  <si>
    <t>t</t>
  </si>
  <si>
    <t>Net Revenue</t>
  </si>
  <si>
    <t>COGS</t>
  </si>
  <si>
    <t>Gross Profit</t>
  </si>
  <si>
    <t>GM %</t>
  </si>
  <si>
    <t>Marketing Spend</t>
  </si>
  <si>
    <t>Payroll</t>
  </si>
  <si>
    <t>Other Opex</t>
  </si>
  <si>
    <t>Total Opex</t>
  </si>
  <si>
    <t>EBITDA</t>
  </si>
  <si>
    <t>EBITDA %</t>
  </si>
  <si>
    <t>Actual Net Revenue</t>
  </si>
  <si>
    <t>Forecast Net Revenue</t>
  </si>
  <si>
    <t>Actual EBITDA</t>
  </si>
  <si>
    <t>Forecast EBITDA</t>
  </si>
  <si>
    <t>Revenue (3M Rolling)</t>
  </si>
  <si>
    <t>Forecast Engine (12 months)</t>
  </si>
  <si>
    <t>This sheet produces the forecast inputs used by Model_PnL.
Baseline: FORECAST() using 36 months of actual revenue.
Scenario overlay: Active assumptions from Inputs.</t>
  </si>
  <si>
    <t>Base GM (last 12m)</t>
  </si>
  <si>
    <t>Revenue Uplift</t>
  </si>
  <si>
    <t>Avg Payroll (last 12m)</t>
  </si>
  <si>
    <t>GM Shift (bps)</t>
  </si>
  <si>
    <t>Avg Other Opex (last 12m)</t>
  </si>
  <si>
    <t>Marketing %</t>
  </si>
  <si>
    <t>Opex Growth (annual)</t>
  </si>
  <si>
    <t>Baseline Revenue</t>
  </si>
  <si>
    <t>Uplift</t>
  </si>
  <si>
    <t>Scenario Revenue</t>
  </si>
  <si>
    <t>Marketing</t>
  </si>
  <si>
    <t>Date</t>
  </si>
  <si>
    <t>Product</t>
  </si>
  <si>
    <t>Units</t>
  </si>
  <si>
    <t>Unit Price</t>
  </si>
  <si>
    <t>Discount %</t>
  </si>
  <si>
    <t>Return %</t>
  </si>
  <si>
    <t>Unit COGS</t>
  </si>
  <si>
    <t>Orders</t>
  </si>
  <si>
    <t>New Customers</t>
  </si>
  <si>
    <t>CAC</t>
  </si>
  <si>
    <t>Gross Revenue</t>
  </si>
  <si>
    <t>Discounts</t>
  </si>
  <si>
    <t>Returns</t>
  </si>
  <si>
    <t>2023-03</t>
  </si>
  <si>
    <t>Core</t>
  </si>
  <si>
    <t>Premium</t>
  </si>
  <si>
    <t>Accessories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</si>
  <si>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</si>
  <si>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</si>
  <si>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</si>
  <si>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</si>
  <si>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</si>
  <si>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</si>
  <si>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</si>
  <si>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</si>
  <si>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</si>
  <si>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</si>
  <si>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</si>
  <si>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</si>
  <si>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</si>
  <si>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</si>
  <si>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</si>
  <si>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</si>
  <si>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</si>
  <si>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</si>
  <si>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</si>
  <si>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</si>
  <si>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</si>
  <si>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</si>
  <si>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</si>
  <si>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</si>
  <si>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</si>
  <si>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</si>
  <si>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</si>
  <si>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</si>
  <si>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</si>
  <si>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</si>
  <si>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</si>
  <si>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</si>
  <si>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</si>
  <si>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</si>
  <si>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</si>
  <si>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Department</t>
  </si>
  <si>
    <t>Headcount</t>
  </si>
  <si>
    <t>Avg Salary (Annual)</t>
  </si>
  <si>
    <t>Sales &amp; Marketing</t>
  </si>
  <si>
    <t>R&amp;D</t>
  </si>
  <si>
    <t>G&amp;A</t>
  </si>
  <si>
    <t>Support</t>
  </si>
  <si>
    <t>How to use this dashboard</t>
  </si>
  <si>
    <t>1) Start on the Dashboard tab.</t>
  </si>
  <si>
    <t>2) Go to Inputs and change the Scenario (Base/Upside/Downside) or adjust levers in the Active column.</t>
  </si>
  <si>
    <t>3) Forecast and KPIs update automatically via formulas (no macros).</t>
  </si>
  <si>
    <t>4) Raw_Sales and Raw_Opex contain row-level drivers (price, discounts, CAC, headcount) with derived calculations.</t>
  </si>
  <si>
    <t>5) Model_PnL aggregates to monthly financial statements and KPIs via SUMIFS.</t>
  </si>
  <si>
    <t>6) Forecast uses FORECAST() baseline + scenario overlays for revenue, margin, marketing %, and opex growth.</t>
  </si>
  <si>
    <t>Design notes</t>
  </si>
  <si>
    <t>• Blue text: adjustable inputs. Green text: links across sheets. Purple text: logic. Black: formulas/outputs.</t>
  </si>
  <si>
    <t>• All figures are synthetic but designed to look like a realistic multi-region, multi-channel business.</t>
  </si>
  <si>
    <t>Active Scenario</t>
  </si>
  <si>
    <t xml:space="preserve"> Revenue</t>
  </si>
  <si>
    <t xml:space="preserve"> EBITDA</t>
  </si>
  <si>
    <t>EBITDA Margins</t>
  </si>
  <si>
    <t>Matthew Tembo 2026 Dashboards</t>
  </si>
  <si>
    <t>guide</t>
  </si>
  <si>
    <t>Key levers (edit blue cells) - used by Forecast and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</si>
</sst>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\$#,##0"/>
  </numFmts>
  <fonts count="3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7030A0"/>
      <name val="Calibri"/>
      <family val="2"/>
    </font>
    <font>
      <sz val="9"/>
      <color rgb="FF595959"/>
      <name val="Calibri"/>
      <family val="2"/>
    </font>
    <font>
      <b/>
      <sz val="11"/>
      <color rgb="FF1F4E79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b/>
      <sz val="10"/>
      <color rgb="FF595959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008000"/>
      <name val="Calibri"/>
      <family val="2"/>
    </font>
    <font>
      <b/>
      <sz val="11"/>
      <name val="Calibri"/>
      <family val="2"/>
    </font>
    <font>
      <sz val="16"/>
      <color theme="1"/>
      <name val="Abadi"/>
      <family val="2"/>
    </font>
    <font>
      <b/>
      <sz val="14"/>
      <color rgb="FF595959"/>
      <name val="Calibri"/>
      <family val="2"/>
    </font>
    <font>
      <b/>
      <sz val="16"/>
      <color theme="3"/>
      <name val="Calibri"/>
      <family val="2"/>
    </font>
    <font>
      <sz val="14"/>
      <color rgb="FF595959"/>
      <name val="Calibri"/>
      <family val="2"/>
    </font>
    <font>
      <b/>
      <sz val="14"/>
      <color theme="0"/>
      <name val="Calibri"/>
      <family val="2"/>
    </font>
    <font>
      <sz val="12"/>
      <color rgb="FF595959"/>
      <name val="Calibri"/>
      <family val="2"/>
    </font>
    <font>
      <b/>
      <sz val="16"/>
      <name val="Calibri"/>
      <family val="2"/>
    </font>
    <font>
      <sz val="14"/>
      <color rgb="FF000000"/>
      <name val="Calibri"/>
      <family val="2"/>
    </font>
    <font>
      <b/>
      <sz val="16"/>
      <color rgb="FFC00000"/>
      <name val="Calibri"/>
      <family val="2"/>
    </font>
    <font>
      <b/>
      <sz val="16"/>
      <color rgb="FF595959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EEF3FB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DashDot">
        <color rgb="FF7F7F7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7B7B7"/>
      </left>
      <right style="medium">
        <color rgb="FF1F1F1F"/>
      </right>
      <top style="thin">
        <color rgb="FFB7B7B7"/>
      </top>
      <bottom style="medium">
        <color rgb="FF1F1F1F"/>
      </bottom>
      <diagonal/>
    </border>
    <border>
      <left/>
      <right/>
      <top style="thin">
        <color rgb="FFB7B7B7"/>
      </top>
      <bottom style="medium">
        <color rgb="FF1F1F1F"/>
      </bottom>
      <diagonal/>
    </border>
    <border>
      <left/>
      <right style="thin">
        <color rgb="FFB7B7B7"/>
      </right>
      <top style="thin">
        <color rgb="FFB7B7B7"/>
      </top>
      <bottom style="medium">
        <color rgb="FF1F1F1F"/>
      </bottom>
      <diagonal/>
    </border>
    <border>
      <left style="thin">
        <color rgb="FFB7B7B7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/>
      <top style="medium">
        <color rgb="FF1F1F1F"/>
      </top>
      <bottom/>
      <diagonal/>
    </border>
    <border>
      <left/>
      <right style="thin">
        <color rgb="FFB7B7B7"/>
      </right>
      <top style="medium">
        <color rgb="FF1F1F1F"/>
      </top>
      <bottom/>
      <diagonal/>
    </border>
    <border>
      <left style="thin">
        <color rgb="FFB7B7B7"/>
      </left>
      <right/>
      <top/>
      <bottom style="medium">
        <color rgb="FF1F1F1F"/>
      </bottom>
      <diagonal/>
    </border>
    <border>
      <left style="thin">
        <color rgb="FFB7B7B7"/>
      </left>
      <right style="medium">
        <color rgb="FF1F1F1F"/>
      </right>
      <top style="medium">
        <color rgb="FF1F1F1F"/>
      </top>
      <bottom style="thin">
        <color rgb="FFB7B7B7"/>
      </bottom>
      <diagonal/>
    </border>
    <border>
      <left/>
      <right/>
      <top style="medium">
        <color rgb="FF1F1F1F"/>
      </top>
      <bottom style="thin">
        <color rgb="FFB7B7B7"/>
      </bottom>
      <diagonal/>
    </border>
    <border>
      <left/>
      <right style="thin">
        <color rgb="FFB7B7B7"/>
      </right>
      <top style="medium">
        <color rgb="FF1F1F1F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medium">
        <color rgb="FF1F1F1F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5" fillId="0" borderId="0" xfId="0" applyFont="1"/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1" fontId="4" fillId="4" borderId="0" xfId="0" applyNumberFormat="1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7" fontId="11" fillId="0" borderId="2" xfId="0" applyNumberFormat="1" applyFont="1" applyBorder="1" applyAlignment="1">
      <alignment horizontal="left" vertical="center" wrapText="1"/>
    </xf>
    <xf numFmtId="1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 wrapText="1"/>
    </xf>
    <xf numFmtId="17" fontId="0" fillId="6" borderId="1" xfId="0" applyNumberFormat="1" applyFill="1" applyBorder="1" applyAlignment="1">
      <alignment horizontal="center" vertical="center" wrapText="1"/>
    </xf>
    <xf numFmtId="17" fontId="12" fillId="0" borderId="1" xfId="0" applyNumberFormat="1" applyFont="1" applyBorder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  <xf numFmtId="166" fontId="1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0" fillId="6" borderId="1" xfId="0" applyFill="1" applyBorder="1" applyAlignment="1">
      <alignment horizontal="left" vertical="center" wrapText="1"/>
    </xf>
    <xf numFmtId="164" fontId="12" fillId="6" borderId="1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6" fontId="12" fillId="0" borderId="2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0" fillId="9" borderId="0" xfId="0" applyFill="1"/>
    <xf numFmtId="0" fontId="19" fillId="0" borderId="0" xfId="0" applyFont="1"/>
    <xf numFmtId="0" fontId="13" fillId="0" borderId="0" xfId="0" applyFont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21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17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top"/>
    </xf>
    <xf numFmtId="0" fontId="20" fillId="0" borderId="16" xfId="0" applyFont="1" applyBorder="1" applyAlignment="1">
      <alignment horizontal="left" vertical="center"/>
    </xf>
    <xf numFmtId="0" fontId="30" fillId="0" borderId="0" xfId="0" applyFont="1"/>
    <xf numFmtId="0" fontId="29" fillId="0" borderId="0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1" fillId="2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3" fillId="10" borderId="10" xfId="0" applyFont="1" applyFill="1" applyBorder="1" applyAlignment="1">
      <alignment horizontal="left" vertical="center"/>
    </xf>
    <xf numFmtId="0" fontId="23" fillId="10" borderId="11" xfId="0" applyFont="1" applyFill="1" applyBorder="1" applyAlignment="1">
      <alignment horizontal="left" vertical="center"/>
    </xf>
    <xf numFmtId="0" fontId="23" fillId="10" borderId="12" xfId="0" applyFont="1" applyFill="1" applyBorder="1" applyAlignment="1">
      <alignment horizontal="left" vertical="center"/>
    </xf>
    <xf numFmtId="0" fontId="27" fillId="8" borderId="22" xfId="0" applyFont="1" applyFill="1" applyBorder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0" fontId="27" fillId="8" borderId="21" xfId="0" applyFont="1" applyFill="1" applyBorder="1" applyAlignment="1">
      <alignment horizontal="left" vertical="center"/>
    </xf>
    <xf numFmtId="0" fontId="22" fillId="8" borderId="17" xfId="0" applyFont="1" applyFill="1" applyBorder="1" applyAlignment="1">
      <alignment horizontal="left" vertical="center"/>
    </xf>
    <xf numFmtId="0" fontId="22" fillId="8" borderId="18" xfId="0" applyFont="1" applyFill="1" applyBorder="1" applyAlignment="1">
      <alignment horizontal="left" vertical="center"/>
    </xf>
    <xf numFmtId="0" fontId="22" fillId="8" borderId="19" xfId="0" applyFont="1" applyFill="1" applyBorder="1" applyAlignment="1">
      <alignment horizontal="left" vertical="center"/>
    </xf>
    <xf numFmtId="166" fontId="21" fillId="7" borderId="13" xfId="0" applyNumberFormat="1" applyFont="1" applyFill="1" applyBorder="1" applyAlignment="1">
      <alignment horizontal="left" vertical="center"/>
    </xf>
    <xf numFmtId="0" fontId="21" fillId="7" borderId="14" xfId="0" applyFont="1" applyFill="1" applyBorder="1" applyAlignment="1">
      <alignment horizontal="left" vertical="center"/>
    </xf>
    <xf numFmtId="0" fontId="21" fillId="7" borderId="15" xfId="0" applyFont="1" applyFill="1" applyBorder="1" applyAlignment="1">
      <alignment horizontal="left" vertical="center"/>
    </xf>
    <xf numFmtId="0" fontId="21" fillId="7" borderId="20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21" fillId="7" borderId="21" xfId="0" applyFont="1" applyFill="1" applyBorder="1" applyAlignment="1">
      <alignment horizontal="left" vertical="center"/>
    </xf>
    <xf numFmtId="165" fontId="21" fillId="7" borderId="13" xfId="0" applyNumberFormat="1" applyFont="1" applyFill="1" applyBorder="1" applyAlignment="1">
      <alignment horizontal="left" vertical="center"/>
    </xf>
    <xf numFmtId="164" fontId="21" fillId="7" borderId="13" xfId="0" applyNumberFormat="1" applyFont="1" applyFill="1" applyBorder="1" applyAlignment="1">
      <alignment horizontal="left" vertical="center"/>
    </xf>
    <xf numFmtId="17" fontId="27" fillId="8" borderId="22" xfId="0" applyNumberFormat="1" applyFont="1" applyFill="1" applyBorder="1" applyAlignment="1">
      <alignment horizontal="left" vertical="center"/>
    </xf>
    <xf numFmtId="0" fontId="28" fillId="8" borderId="17" xfId="0" applyFont="1" applyFill="1" applyBorder="1" applyAlignment="1">
      <alignment horizontal="left" vertical="center"/>
    </xf>
    <xf numFmtId="0" fontId="28" fillId="8" borderId="18" xfId="0" applyFont="1" applyFill="1" applyBorder="1" applyAlignment="1">
      <alignment horizontal="left" vertical="center"/>
    </xf>
    <xf numFmtId="0" fontId="28" fillId="8" borderId="19" xfId="0" applyFont="1" applyFill="1" applyBorder="1" applyAlignment="1">
      <alignment horizontal="left" vertical="center"/>
    </xf>
    <xf numFmtId="0" fontId="6" fillId="0" borderId="0" xfId="0" applyFont="1"/>
    <xf numFmtId="0" fontId="7" fillId="5" borderId="0" xfId="0" applyFont="1" applyFill="1" applyAlignment="1">
      <alignment horizontal="center" vertical="center" wrapText="1"/>
    </xf>
    <xf numFmtId="0" fontId="5" fillId="0" borderId="0" xfId="0" applyFont="1"/>
    <xf numFmtId="0" fontId="31" fillId="0" borderId="0" xfId="0" applyFont="1"/>
  </cellXfs>
  <cellStyles count="1">
    <cellStyle name="Normal" xfId="0" builtinId="0"/>
  </cellStyles>
  <dxfs count="2"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pt-PT"/>
              <a:t>TTM 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Analysis!$E$8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Analysis!$D$9:$D$12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Analysis!$E$9:$E$12</c:f>
              <c:numCache>
                <c:formatCode>\$#,##0</c:formatCode>
                <c:ptCount val="4"/>
                <c:pt idx="0">
                  <c:v>44295375.530245587</c:v>
                </c:pt>
                <c:pt idx="1">
                  <c:v>34350416.332552068</c:v>
                </c:pt>
                <c:pt idx="2">
                  <c:v>23616231.154407799</c:v>
                </c:pt>
                <c:pt idx="3">
                  <c:v>9711967.8926508073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A-413D-BF93-F80772BD6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pt-PT" sz="1050"/>
              <a:t>TTM Revenue Mix by Channel</a:t>
            </a:r>
          </a:p>
        </c:rich>
      </c:tx>
      <c:layout>
        <c:manualLayout>
          <c:xMode val="edge"/>
          <c:yMode val="edge"/>
          <c:x val="0.25714040885600636"/>
          <c:y val="0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Analysis!$H$8</c:f>
              <c:strCache>
                <c:ptCount val="1"/>
                <c:pt idx="0">
                  <c:v>Share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Analysis!$F$9:$F$11</c:f>
              <c:strCache>
                <c:ptCount val="3"/>
                <c:pt idx="0">
                  <c:v>Online DTC</c:v>
                </c:pt>
                <c:pt idx="1">
                  <c:v>Marketplace</c:v>
                </c:pt>
                <c:pt idx="2">
                  <c:v>Wholesale</c:v>
                </c:pt>
              </c:strCache>
            </c:strRef>
          </c:cat>
          <c:val>
            <c:numRef>
              <c:f>Analysis!$H$9:$H$11</c:f>
              <c:numCache>
                <c:formatCode>0.0%</c:formatCode>
                <c:ptCount val="3"/>
                <c:pt idx="0">
                  <c:v>0.58578900390226951</c:v>
                </c:pt>
                <c:pt idx="1">
                  <c:v>0.23628528993005202</c:v>
                </c:pt>
                <c:pt idx="2">
                  <c:v>0.17792570616767844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A-457F-A34E-8316C2A7D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PT"/>
              <a:t>Net Revenue &amp; EBITDA (Actuals vs Forecast)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Model_PnL!$M$6</c:f>
              <c:strCache>
                <c:ptCount val="1"/>
                <c:pt idx="0">
                  <c:v>Actual Net Revenue</c:v>
                </c:pt>
              </c:strCache>
            </c:strRef>
          </c:tx>
          <c:spPr>
            <a:ln w="22000">
              <a:solidFill>
                <a:srgbClr val="4F81BD"/>
              </a:solidFill>
              <a:prstDash val="solid"/>
            </a:ln>
          </c:spPr>
          <c:marker>
            <c:symbol val="none"/>
          </c:marker>
          <c:cat>
            <c:numRef>
              <c:f>Model_PnL!$A$7:$A$54</c:f>
              <c:numCache>
                <c:formatCode>mmm\-yy</c:formatCode>
                <c:ptCount val="48"/>
                <c:pt idx="0">
                  <c:v>45016</c:v>
                </c:pt>
                <c:pt idx="1">
                  <c:v>45046</c:v>
                </c:pt>
                <c:pt idx="2">
                  <c:v>45077</c:v>
                </c:pt>
                <c:pt idx="3">
                  <c:v>45107</c:v>
                </c:pt>
                <c:pt idx="4">
                  <c:v>45138</c:v>
                </c:pt>
                <c:pt idx="5">
                  <c:v>45169</c:v>
                </c:pt>
                <c:pt idx="6">
                  <c:v>45199</c:v>
                </c:pt>
                <c:pt idx="7">
                  <c:v>45230</c:v>
                </c:pt>
                <c:pt idx="8">
                  <c:v>45260</c:v>
                </c:pt>
                <c:pt idx="9">
                  <c:v>45291</c:v>
                </c:pt>
                <c:pt idx="10">
                  <c:v>45322</c:v>
                </c:pt>
                <c:pt idx="11">
                  <c:v>45351</c:v>
                </c:pt>
                <c:pt idx="12">
                  <c:v>45382</c:v>
                </c:pt>
                <c:pt idx="13">
                  <c:v>45412</c:v>
                </c:pt>
                <c:pt idx="14">
                  <c:v>45443</c:v>
                </c:pt>
                <c:pt idx="15">
                  <c:v>45473</c:v>
                </c:pt>
                <c:pt idx="16">
                  <c:v>45504</c:v>
                </c:pt>
                <c:pt idx="17">
                  <c:v>45535</c:v>
                </c:pt>
                <c:pt idx="18">
                  <c:v>45565</c:v>
                </c:pt>
                <c:pt idx="19">
                  <c:v>45596</c:v>
                </c:pt>
                <c:pt idx="20">
                  <c:v>45626</c:v>
                </c:pt>
                <c:pt idx="21">
                  <c:v>45657</c:v>
                </c:pt>
                <c:pt idx="22">
                  <c:v>45688</c:v>
                </c:pt>
                <c:pt idx="23">
                  <c:v>45716</c:v>
                </c:pt>
                <c:pt idx="24">
                  <c:v>45747</c:v>
                </c:pt>
                <c:pt idx="25">
                  <c:v>45777</c:v>
                </c:pt>
                <c:pt idx="26">
                  <c:v>45808</c:v>
                </c:pt>
                <c:pt idx="27">
                  <c:v>45838</c:v>
                </c:pt>
                <c:pt idx="28">
                  <c:v>45869</c:v>
                </c:pt>
                <c:pt idx="29">
                  <c:v>45900</c:v>
                </c:pt>
                <c:pt idx="30">
                  <c:v>45930</c:v>
                </c:pt>
                <c:pt idx="31">
                  <c:v>45961</c:v>
                </c:pt>
                <c:pt idx="32">
                  <c:v>45991</c:v>
                </c:pt>
                <c:pt idx="33">
                  <c:v>46022</c:v>
                </c:pt>
                <c:pt idx="34">
                  <c:v>46053</c:v>
                </c:pt>
                <c:pt idx="35">
                  <c:v>46081</c:v>
                </c:pt>
                <c:pt idx="36">
                  <c:v>46112</c:v>
                </c:pt>
                <c:pt idx="37">
                  <c:v>46142</c:v>
                </c:pt>
                <c:pt idx="38">
                  <c:v>46173</c:v>
                </c:pt>
                <c:pt idx="39">
                  <c:v>46203</c:v>
                </c:pt>
                <c:pt idx="40">
                  <c:v>46234</c:v>
                </c:pt>
                <c:pt idx="41">
                  <c:v>46265</c:v>
                </c:pt>
                <c:pt idx="42">
                  <c:v>46295</c:v>
                </c:pt>
                <c:pt idx="43">
                  <c:v>46326</c:v>
                </c:pt>
                <c:pt idx="44">
                  <c:v>46356</c:v>
                </c:pt>
                <c:pt idx="45">
                  <c:v>46387</c:v>
                </c:pt>
                <c:pt idx="46">
                  <c:v>46418</c:v>
                </c:pt>
                <c:pt idx="47">
                  <c:v>46446</c:v>
                </c:pt>
              </c:numCache>
            </c:numRef>
          </c:cat>
          <c:val>
            <c:numRef>
              <c:f>Model_PnL!$M$7:$M$54</c:f>
              <c:numCache>
                <c:formatCode>\$#,##0</c:formatCode>
                <c:ptCount val="48"/>
                <c:pt idx="0">
                  <c:v>6111106.6923861532</c:v>
                </c:pt>
                <c:pt idx="1">
                  <c:v>6112814.294749245</c:v>
                </c:pt>
                <c:pt idx="2">
                  <c:v>6464674.8755981876</c:v>
                </c:pt>
                <c:pt idx="3">
                  <c:v>6892942.5152801974</c:v>
                </c:pt>
                <c:pt idx="4">
                  <c:v>6958622.9089282202</c:v>
                </c:pt>
                <c:pt idx="5">
                  <c:v>6349906.7648599707</c:v>
                </c:pt>
                <c:pt idx="6">
                  <c:v>6791502.7406682288</c:v>
                </c:pt>
                <c:pt idx="7">
                  <c:v>6747149.0162298111</c:v>
                </c:pt>
                <c:pt idx="8">
                  <c:v>7870188.8704731539</c:v>
                </c:pt>
                <c:pt idx="9">
                  <c:v>8601676.2069240939</c:v>
                </c:pt>
                <c:pt idx="10">
                  <c:v>5938555.8566266512</c:v>
                </c:pt>
                <c:pt idx="11">
                  <c:v>7017084.1067634989</c:v>
                </c:pt>
                <c:pt idx="12">
                  <c:v>6758152.5623435564</c:v>
                </c:pt>
                <c:pt idx="13">
                  <c:v>7319175.5219615037</c:v>
                </c:pt>
                <c:pt idx="14">
                  <c:v>8092187.9828374386</c:v>
                </c:pt>
                <c:pt idx="15">
                  <c:v>6996480.341332932</c:v>
                </c:pt>
                <c:pt idx="16">
                  <c:v>8179206.5402881037</c:v>
                </c:pt>
                <c:pt idx="17">
                  <c:v>7645710.9722999847</c:v>
                </c:pt>
                <c:pt idx="18">
                  <c:v>7961548.7263307348</c:v>
                </c:pt>
                <c:pt idx="19">
                  <c:v>9093569.9436307065</c:v>
                </c:pt>
                <c:pt idx="20">
                  <c:v>8334125.6000987366</c:v>
                </c:pt>
                <c:pt idx="21">
                  <c:v>9565478.6902354583</c:v>
                </c:pt>
                <c:pt idx="22">
                  <c:v>5971233.712869497</c:v>
                </c:pt>
                <c:pt idx="23">
                  <c:v>7123617.4897099817</c:v>
                </c:pt>
                <c:pt idx="24">
                  <c:v>8562748.5435565561</c:v>
                </c:pt>
                <c:pt idx="25">
                  <c:v>8025738.8235086119</c:v>
                </c:pt>
                <c:pt idx="26">
                  <c:v>8104083.2856993051</c:v>
                </c:pt>
                <c:pt idx="27">
                  <c:v>8892356.5967695024</c:v>
                </c:pt>
                <c:pt idx="28">
                  <c:v>9582414.6671222784</c:v>
                </c:pt>
                <c:pt idx="29">
                  <c:v>9212797.478943944</c:v>
                </c:pt>
                <c:pt idx="30">
                  <c:v>10052103.506071519</c:v>
                </c:pt>
                <c:pt idx="31">
                  <c:v>9788962.0116820671</c:v>
                </c:pt>
                <c:pt idx="32">
                  <c:v>10925888.2990475</c:v>
                </c:pt>
                <c:pt idx="33">
                  <c:v>12006271.604893159</c:v>
                </c:pt>
                <c:pt idx="34">
                  <c:v>8179644.9600331858</c:v>
                </c:pt>
                <c:pt idx="35">
                  <c:v>8640981.1325286292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E6-4415-B78C-61814EA66785}"/>
            </c:ext>
          </c:extLst>
        </c:ser>
        <c:ser>
          <c:idx val="1"/>
          <c:order val="1"/>
          <c:tx>
            <c:strRef>
              <c:f>Model_PnL!$N$6</c:f>
              <c:strCache>
                <c:ptCount val="1"/>
                <c:pt idx="0">
                  <c:v>Forecast Net Revenue</c:v>
                </c:pt>
              </c:strCache>
            </c:strRef>
          </c:tx>
          <c:spPr>
            <a:ln w="22000">
              <a:solidFill>
                <a:srgbClr val="4F81BD"/>
              </a:solidFill>
              <a:prstDash val="sysDot"/>
            </a:ln>
          </c:spPr>
          <c:marker>
            <c:symbol val="none"/>
          </c:marker>
          <c:cat>
            <c:numRef>
              <c:f>Model_PnL!$A$7:$A$54</c:f>
              <c:numCache>
                <c:formatCode>mmm\-yy</c:formatCode>
                <c:ptCount val="48"/>
                <c:pt idx="0">
                  <c:v>45016</c:v>
                </c:pt>
                <c:pt idx="1">
                  <c:v>45046</c:v>
                </c:pt>
                <c:pt idx="2">
                  <c:v>45077</c:v>
                </c:pt>
                <c:pt idx="3">
                  <c:v>45107</c:v>
                </c:pt>
                <c:pt idx="4">
                  <c:v>45138</c:v>
                </c:pt>
                <c:pt idx="5">
                  <c:v>45169</c:v>
                </c:pt>
                <c:pt idx="6">
                  <c:v>45199</c:v>
                </c:pt>
                <c:pt idx="7">
                  <c:v>45230</c:v>
                </c:pt>
                <c:pt idx="8">
                  <c:v>45260</c:v>
                </c:pt>
                <c:pt idx="9">
                  <c:v>45291</c:v>
                </c:pt>
                <c:pt idx="10">
                  <c:v>45322</c:v>
                </c:pt>
                <c:pt idx="11">
                  <c:v>45351</c:v>
                </c:pt>
                <c:pt idx="12">
                  <c:v>45382</c:v>
                </c:pt>
                <c:pt idx="13">
                  <c:v>45412</c:v>
                </c:pt>
                <c:pt idx="14">
                  <c:v>45443</c:v>
                </c:pt>
                <c:pt idx="15">
                  <c:v>45473</c:v>
                </c:pt>
                <c:pt idx="16">
                  <c:v>45504</c:v>
                </c:pt>
                <c:pt idx="17">
                  <c:v>45535</c:v>
                </c:pt>
                <c:pt idx="18">
                  <c:v>45565</c:v>
                </c:pt>
                <c:pt idx="19">
                  <c:v>45596</c:v>
                </c:pt>
                <c:pt idx="20">
                  <c:v>45626</c:v>
                </c:pt>
                <c:pt idx="21">
                  <c:v>45657</c:v>
                </c:pt>
                <c:pt idx="22">
                  <c:v>45688</c:v>
                </c:pt>
                <c:pt idx="23">
                  <c:v>45716</c:v>
                </c:pt>
                <c:pt idx="24">
                  <c:v>45747</c:v>
                </c:pt>
                <c:pt idx="25">
                  <c:v>45777</c:v>
                </c:pt>
                <c:pt idx="26">
                  <c:v>45808</c:v>
                </c:pt>
                <c:pt idx="27">
                  <c:v>45838</c:v>
                </c:pt>
                <c:pt idx="28">
                  <c:v>45869</c:v>
                </c:pt>
                <c:pt idx="29">
                  <c:v>45900</c:v>
                </c:pt>
                <c:pt idx="30">
                  <c:v>45930</c:v>
                </c:pt>
                <c:pt idx="31">
                  <c:v>45961</c:v>
                </c:pt>
                <c:pt idx="32">
                  <c:v>45991</c:v>
                </c:pt>
                <c:pt idx="33">
                  <c:v>46022</c:v>
                </c:pt>
                <c:pt idx="34">
                  <c:v>46053</c:v>
                </c:pt>
                <c:pt idx="35">
                  <c:v>46081</c:v>
                </c:pt>
                <c:pt idx="36">
                  <c:v>46112</c:v>
                </c:pt>
                <c:pt idx="37">
                  <c:v>46142</c:v>
                </c:pt>
                <c:pt idx="38">
                  <c:v>46173</c:v>
                </c:pt>
                <c:pt idx="39">
                  <c:v>46203</c:v>
                </c:pt>
                <c:pt idx="40">
                  <c:v>46234</c:v>
                </c:pt>
                <c:pt idx="41">
                  <c:v>46265</c:v>
                </c:pt>
                <c:pt idx="42">
                  <c:v>46295</c:v>
                </c:pt>
                <c:pt idx="43">
                  <c:v>46326</c:v>
                </c:pt>
                <c:pt idx="44">
                  <c:v>46356</c:v>
                </c:pt>
                <c:pt idx="45">
                  <c:v>46387</c:v>
                </c:pt>
                <c:pt idx="46">
                  <c:v>46418</c:v>
                </c:pt>
                <c:pt idx="47">
                  <c:v>46446</c:v>
                </c:pt>
              </c:numCache>
            </c:numRef>
          </c:cat>
          <c:val>
            <c:numRef>
              <c:f>Model_PnL!$N$7:$N$54</c:f>
              <c:numCache>
                <c:formatCode>\$#,##0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9289969.8001310714</c:v>
                </c:pt>
                <c:pt idx="37">
                  <c:v>9387237.7448638529</c:v>
                </c:pt>
                <c:pt idx="38">
                  <c:v>9484505.6895966362</c:v>
                </c:pt>
                <c:pt idx="39">
                  <c:v>9581773.6343294177</c:v>
                </c:pt>
                <c:pt idx="40">
                  <c:v>9679041.5790622011</c:v>
                </c:pt>
                <c:pt idx="41">
                  <c:v>9776309.5237949826</c:v>
                </c:pt>
                <c:pt idx="42">
                  <c:v>9873577.4685277659</c:v>
                </c:pt>
                <c:pt idx="43">
                  <c:v>9970845.4132605474</c:v>
                </c:pt>
                <c:pt idx="44">
                  <c:v>10068113.357993333</c:v>
                </c:pt>
                <c:pt idx="45">
                  <c:v>10165381.302726116</c:v>
                </c:pt>
                <c:pt idx="46">
                  <c:v>10262649.247458898</c:v>
                </c:pt>
                <c:pt idx="47">
                  <c:v>10359917.192191681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3E6-4415-B78C-61814EA66785}"/>
            </c:ext>
          </c:extLst>
        </c:ser>
        <c:ser>
          <c:idx val="2"/>
          <c:order val="2"/>
          <c:tx>
            <c:strRef>
              <c:f>Model_PnL!$O$6</c:f>
              <c:strCache>
                <c:ptCount val="1"/>
                <c:pt idx="0">
                  <c:v>Actual EBITDA</c:v>
                </c:pt>
              </c:strCache>
            </c:strRef>
          </c:tx>
          <c:spPr>
            <a:ln w="18000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Model_PnL!$A$7:$A$54</c:f>
              <c:numCache>
                <c:formatCode>mmm\-yy</c:formatCode>
                <c:ptCount val="48"/>
                <c:pt idx="0">
                  <c:v>45016</c:v>
                </c:pt>
                <c:pt idx="1">
                  <c:v>45046</c:v>
                </c:pt>
                <c:pt idx="2">
                  <c:v>45077</c:v>
                </c:pt>
                <c:pt idx="3">
                  <c:v>45107</c:v>
                </c:pt>
                <c:pt idx="4">
                  <c:v>45138</c:v>
                </c:pt>
                <c:pt idx="5">
                  <c:v>45169</c:v>
                </c:pt>
                <c:pt idx="6">
                  <c:v>45199</c:v>
                </c:pt>
                <c:pt idx="7">
                  <c:v>45230</c:v>
                </c:pt>
                <c:pt idx="8">
                  <c:v>45260</c:v>
                </c:pt>
                <c:pt idx="9">
                  <c:v>45291</c:v>
                </c:pt>
                <c:pt idx="10">
                  <c:v>45322</c:v>
                </c:pt>
                <c:pt idx="11">
                  <c:v>45351</c:v>
                </c:pt>
                <c:pt idx="12">
                  <c:v>45382</c:v>
                </c:pt>
                <c:pt idx="13">
                  <c:v>45412</c:v>
                </c:pt>
                <c:pt idx="14">
                  <c:v>45443</c:v>
                </c:pt>
                <c:pt idx="15">
                  <c:v>45473</c:v>
                </c:pt>
                <c:pt idx="16">
                  <c:v>45504</c:v>
                </c:pt>
                <c:pt idx="17">
                  <c:v>45535</c:v>
                </c:pt>
                <c:pt idx="18">
                  <c:v>45565</c:v>
                </c:pt>
                <c:pt idx="19">
                  <c:v>45596</c:v>
                </c:pt>
                <c:pt idx="20">
                  <c:v>45626</c:v>
                </c:pt>
                <c:pt idx="21">
                  <c:v>45657</c:v>
                </c:pt>
                <c:pt idx="22">
                  <c:v>45688</c:v>
                </c:pt>
                <c:pt idx="23">
                  <c:v>45716</c:v>
                </c:pt>
                <c:pt idx="24">
                  <c:v>45747</c:v>
                </c:pt>
                <c:pt idx="25">
                  <c:v>45777</c:v>
                </c:pt>
                <c:pt idx="26">
                  <c:v>45808</c:v>
                </c:pt>
                <c:pt idx="27">
                  <c:v>45838</c:v>
                </c:pt>
                <c:pt idx="28">
                  <c:v>45869</c:v>
                </c:pt>
                <c:pt idx="29">
                  <c:v>45900</c:v>
                </c:pt>
                <c:pt idx="30">
                  <c:v>45930</c:v>
                </c:pt>
                <c:pt idx="31">
                  <c:v>45961</c:v>
                </c:pt>
                <c:pt idx="32">
                  <c:v>45991</c:v>
                </c:pt>
                <c:pt idx="33">
                  <c:v>46022</c:v>
                </c:pt>
                <c:pt idx="34">
                  <c:v>46053</c:v>
                </c:pt>
                <c:pt idx="35">
                  <c:v>46081</c:v>
                </c:pt>
                <c:pt idx="36">
                  <c:v>46112</c:v>
                </c:pt>
                <c:pt idx="37">
                  <c:v>46142</c:v>
                </c:pt>
                <c:pt idx="38">
                  <c:v>46173</c:v>
                </c:pt>
                <c:pt idx="39">
                  <c:v>46203</c:v>
                </c:pt>
                <c:pt idx="40">
                  <c:v>46234</c:v>
                </c:pt>
                <c:pt idx="41">
                  <c:v>46265</c:v>
                </c:pt>
                <c:pt idx="42">
                  <c:v>46295</c:v>
                </c:pt>
                <c:pt idx="43">
                  <c:v>46326</c:v>
                </c:pt>
                <c:pt idx="44">
                  <c:v>46356</c:v>
                </c:pt>
                <c:pt idx="45">
                  <c:v>46387</c:v>
                </c:pt>
                <c:pt idx="46">
                  <c:v>46418</c:v>
                </c:pt>
                <c:pt idx="47">
                  <c:v>46446</c:v>
                </c:pt>
              </c:numCache>
            </c:numRef>
          </c:cat>
          <c:val>
            <c:numRef>
              <c:f>Model_PnL!$O$7:$O$54</c:f>
              <c:numCache>
                <c:formatCode>\$#,##0</c:formatCode>
                <c:ptCount val="48"/>
                <c:pt idx="0">
                  <c:v>17400.389052819577</c:v>
                </c:pt>
                <c:pt idx="1">
                  <c:v>-89713.51858408819</c:v>
                </c:pt>
                <c:pt idx="2">
                  <c:v>137346.47559818765</c:v>
                </c:pt>
                <c:pt idx="3">
                  <c:v>185868.74861353077</c:v>
                </c:pt>
                <c:pt idx="4">
                  <c:v>130444.93226155336</c:v>
                </c:pt>
                <c:pt idx="5">
                  <c:v>12196.104859970976</c:v>
                </c:pt>
                <c:pt idx="6">
                  <c:v>2426.2306682302151</c:v>
                </c:pt>
                <c:pt idx="7">
                  <c:v>166532.71289647813</c:v>
                </c:pt>
                <c:pt idx="8">
                  <c:v>136582.94713982055</c:v>
                </c:pt>
                <c:pt idx="9">
                  <c:v>281473.04359076079</c:v>
                </c:pt>
                <c:pt idx="10">
                  <c:v>-83295.120040015317</c:v>
                </c:pt>
                <c:pt idx="11">
                  <c:v>233935.070096832</c:v>
                </c:pt>
                <c:pt idx="12">
                  <c:v>179979.35901022376</c:v>
                </c:pt>
                <c:pt idx="13">
                  <c:v>173434.69196150359</c:v>
                </c:pt>
                <c:pt idx="14">
                  <c:v>637182.24950410519</c:v>
                </c:pt>
                <c:pt idx="15">
                  <c:v>130508.52466626535</c:v>
                </c:pt>
                <c:pt idx="16">
                  <c:v>578869.40362143749</c:v>
                </c:pt>
                <c:pt idx="17">
                  <c:v>394114.22229998512</c:v>
                </c:pt>
                <c:pt idx="18">
                  <c:v>405570.14633073471</c:v>
                </c:pt>
                <c:pt idx="19">
                  <c:v>661358.07696404005</c:v>
                </c:pt>
                <c:pt idx="20">
                  <c:v>167636.01009873627</c:v>
                </c:pt>
                <c:pt idx="21">
                  <c:v>534662.05023545865</c:v>
                </c:pt>
                <c:pt idx="22">
                  <c:v>-284540.0537971697</c:v>
                </c:pt>
                <c:pt idx="23">
                  <c:v>103486.69970998121</c:v>
                </c:pt>
                <c:pt idx="24">
                  <c:v>546695.50022322219</c:v>
                </c:pt>
                <c:pt idx="25">
                  <c:v>499729.2668419457</c:v>
                </c:pt>
                <c:pt idx="26">
                  <c:v>384784.56569930492</c:v>
                </c:pt>
                <c:pt idx="27">
                  <c:v>774597.02676950209</c:v>
                </c:pt>
                <c:pt idx="28">
                  <c:v>897179.23378894478</c:v>
                </c:pt>
                <c:pt idx="29">
                  <c:v>788318.77894394379</c:v>
                </c:pt>
                <c:pt idx="30">
                  <c:v>958868.16607151926</c:v>
                </c:pt>
                <c:pt idx="31">
                  <c:v>693305.44168206677</c:v>
                </c:pt>
                <c:pt idx="32">
                  <c:v>981846.23238083348</c:v>
                </c:pt>
                <c:pt idx="33">
                  <c:v>1250905.2515598265</c:v>
                </c:pt>
                <c:pt idx="34">
                  <c:v>436117.24336651852</c:v>
                </c:pt>
                <c:pt idx="35">
                  <c:v>510075.02586196223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3E6-4415-B78C-61814EA66785}"/>
            </c:ext>
          </c:extLst>
        </c:ser>
        <c:ser>
          <c:idx val="3"/>
          <c:order val="3"/>
          <c:tx>
            <c:strRef>
              <c:f>Model_PnL!$P$6</c:f>
              <c:strCache>
                <c:ptCount val="1"/>
                <c:pt idx="0">
                  <c:v>Forecast EBITDA</c:v>
                </c:pt>
              </c:strCache>
            </c:strRef>
          </c:tx>
          <c:spPr>
            <a:ln w="18000">
              <a:solidFill>
                <a:srgbClr val="C0504D"/>
              </a:solidFill>
              <a:prstDash val="sysDot"/>
            </a:ln>
          </c:spPr>
          <c:marker>
            <c:symbol val="none"/>
          </c:marker>
          <c:cat>
            <c:numRef>
              <c:f>Model_PnL!$A$7:$A$54</c:f>
              <c:numCache>
                <c:formatCode>mmm\-yy</c:formatCode>
                <c:ptCount val="48"/>
                <c:pt idx="0">
                  <c:v>45016</c:v>
                </c:pt>
                <c:pt idx="1">
                  <c:v>45046</c:v>
                </c:pt>
                <c:pt idx="2">
                  <c:v>45077</c:v>
                </c:pt>
                <c:pt idx="3">
                  <c:v>45107</c:v>
                </c:pt>
                <c:pt idx="4">
                  <c:v>45138</c:v>
                </c:pt>
                <c:pt idx="5">
                  <c:v>45169</c:v>
                </c:pt>
                <c:pt idx="6">
                  <c:v>45199</c:v>
                </c:pt>
                <c:pt idx="7">
                  <c:v>45230</c:v>
                </c:pt>
                <c:pt idx="8">
                  <c:v>45260</c:v>
                </c:pt>
                <c:pt idx="9">
                  <c:v>45291</c:v>
                </c:pt>
                <c:pt idx="10">
                  <c:v>45322</c:v>
                </c:pt>
                <c:pt idx="11">
                  <c:v>45351</c:v>
                </c:pt>
                <c:pt idx="12">
                  <c:v>45382</c:v>
                </c:pt>
                <c:pt idx="13">
                  <c:v>45412</c:v>
                </c:pt>
                <c:pt idx="14">
                  <c:v>45443</c:v>
                </c:pt>
                <c:pt idx="15">
                  <c:v>45473</c:v>
                </c:pt>
                <c:pt idx="16">
                  <c:v>45504</c:v>
                </c:pt>
                <c:pt idx="17">
                  <c:v>45535</c:v>
                </c:pt>
                <c:pt idx="18">
                  <c:v>45565</c:v>
                </c:pt>
                <c:pt idx="19">
                  <c:v>45596</c:v>
                </c:pt>
                <c:pt idx="20">
                  <c:v>45626</c:v>
                </c:pt>
                <c:pt idx="21">
                  <c:v>45657</c:v>
                </c:pt>
                <c:pt idx="22">
                  <c:v>45688</c:v>
                </c:pt>
                <c:pt idx="23">
                  <c:v>45716</c:v>
                </c:pt>
                <c:pt idx="24">
                  <c:v>45747</c:v>
                </c:pt>
                <c:pt idx="25">
                  <c:v>45777</c:v>
                </c:pt>
                <c:pt idx="26">
                  <c:v>45808</c:v>
                </c:pt>
                <c:pt idx="27">
                  <c:v>45838</c:v>
                </c:pt>
                <c:pt idx="28">
                  <c:v>45869</c:v>
                </c:pt>
                <c:pt idx="29">
                  <c:v>45900</c:v>
                </c:pt>
                <c:pt idx="30">
                  <c:v>45930</c:v>
                </c:pt>
                <c:pt idx="31">
                  <c:v>45961</c:v>
                </c:pt>
                <c:pt idx="32">
                  <c:v>45991</c:v>
                </c:pt>
                <c:pt idx="33">
                  <c:v>46022</c:v>
                </c:pt>
                <c:pt idx="34">
                  <c:v>46053</c:v>
                </c:pt>
                <c:pt idx="35">
                  <c:v>46081</c:v>
                </c:pt>
                <c:pt idx="36">
                  <c:v>46112</c:v>
                </c:pt>
                <c:pt idx="37">
                  <c:v>46142</c:v>
                </c:pt>
                <c:pt idx="38">
                  <c:v>46173</c:v>
                </c:pt>
                <c:pt idx="39">
                  <c:v>46203</c:v>
                </c:pt>
                <c:pt idx="40">
                  <c:v>46234</c:v>
                </c:pt>
                <c:pt idx="41">
                  <c:v>46265</c:v>
                </c:pt>
                <c:pt idx="42">
                  <c:v>46295</c:v>
                </c:pt>
                <c:pt idx="43">
                  <c:v>46326</c:v>
                </c:pt>
                <c:pt idx="44">
                  <c:v>46356</c:v>
                </c:pt>
                <c:pt idx="45">
                  <c:v>46387</c:v>
                </c:pt>
                <c:pt idx="46">
                  <c:v>46418</c:v>
                </c:pt>
                <c:pt idx="47">
                  <c:v>46446</c:v>
                </c:pt>
              </c:numCache>
            </c:numRef>
          </c:cat>
          <c:val>
            <c:numRef>
              <c:f>Model_PnL!$P$7:$P$54</c:f>
              <c:numCache>
                <c:formatCode>\$#,##0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-258217.82195528422</c:v>
                </c:pt>
                <c:pt idx="37">
                  <c:v>-253996.03634013282</c:v>
                </c:pt>
                <c:pt idx="38">
                  <c:v>-249884.50349951733</c:v>
                </c:pt>
                <c:pt idx="39">
                  <c:v>-245884.01806082856</c:v>
                </c:pt>
                <c:pt idx="40">
                  <c:v>-241995.38037859672</c:v>
                </c:pt>
                <c:pt idx="41">
                  <c:v>-238219.39657576429</c:v>
                </c:pt>
                <c:pt idx="42">
                  <c:v>-234556.87858526362</c:v>
                </c:pt>
                <c:pt idx="43">
                  <c:v>-231008.64419188839</c:v>
                </c:pt>
                <c:pt idx="44">
                  <c:v>-227575.51707447344</c:v>
                </c:pt>
                <c:pt idx="45">
                  <c:v>-224258.32684837328</c:v>
                </c:pt>
                <c:pt idx="46">
                  <c:v>-221057.90910824668</c:v>
                </c:pt>
                <c:pt idx="47">
                  <c:v>-217975.10547115584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3E6-4415-B78C-61814EA66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numFmt formatCode="\$#,##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0232275985663081"/>
          <c:y val="0.8440038225186316"/>
          <c:w val="0.5498347670250896"/>
          <c:h val="0.155996177481368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360840</xdr:colOff>
      <xdr:row>16</xdr:row>
      <xdr:rowOff>150413</xdr:rowOff>
    </xdr:from>
    <xdr:to>
      <xdr:col>11</xdr:col>
      <xdr:colOff>741841</xdr:colOff>
      <xdr:row>28</xdr:row>
      <xdr:rowOff>53420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116474</xdr:colOff>
      <xdr:row>4</xdr:row>
      <xdr:rowOff>93737</xdr:rowOff>
    </xdr:from>
    <xdr:to>
      <xdr:col>11</xdr:col>
      <xdr:colOff>535214</xdr:colOff>
      <xdr:row>8</xdr:row>
      <xdr:rowOff>171348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16</xdr:row>
      <xdr:rowOff>180420</xdr:rowOff>
    </xdr:from>
    <xdr:ext cx="5580000" cy="282222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2</xdr:col>
      <xdr:colOff>943428</xdr:colOff>
      <xdr:row>0</xdr:row>
      <xdr:rowOff>7055</xdr:rowOff>
    </xdr:from>
    <xdr:to>
      <xdr:col>11</xdr:col>
      <xdr:colOff>0</xdr:colOff>
      <xdr:row>2</xdr:row>
      <xdr:rowOff>28222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576CE04-C83B-CA66-B3FA-041D8F1D61F7}"/>
            </a:ext>
          </a:extLst>
        </xdr:cNvPr>
        <xdr:cNvSpPr/>
      </xdr:nvSpPr>
      <xdr:spPr>
        <a:xfrm>
          <a:off x="3174999" y="7055"/>
          <a:ext cx="6495144" cy="49288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rgbClr val="002060"/>
              </a:solidFill>
            </a:rPr>
            <a:t>          Dashboard — Performance, Trends, and Forecast</a:t>
          </a:r>
          <a:endParaRPr lang="en-ZM" sz="200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148167</xdr:colOff>
      <xdr:row>5</xdr:row>
      <xdr:rowOff>49389</xdr:rowOff>
    </xdr:from>
    <xdr:to>
      <xdr:col>2</xdr:col>
      <xdr:colOff>324556</xdr:colOff>
      <xdr:row>8</xdr:row>
      <xdr:rowOff>70556</xdr:rowOff>
    </xdr:to>
    <xdr:sp macro="" textlink="Analysis!$B$12">
      <xdr:nvSpPr>
        <xdr:cNvPr id="11" name="Rectangle: Rounded Corners 10">
          <a:extLst>
            <a:ext uri="{FF2B5EF4-FFF2-40B4-BE49-F238E27FC236}">
              <a16:creationId xmlns:a16="http://schemas.microsoft.com/office/drawing/2014/main" id="{6E2D1851-BADC-C7E2-97B7-5BC8F0825AEE}"/>
            </a:ext>
          </a:extLst>
        </xdr:cNvPr>
        <xdr:cNvSpPr/>
      </xdr:nvSpPr>
      <xdr:spPr>
        <a:xfrm>
          <a:off x="148167" y="1248833"/>
          <a:ext cx="2405945" cy="83961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3B6182D5-21AB-4035-9BFB-1CB3F1C67893}" type="TxLink">
            <a:rPr lang="en-US" sz="20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$111,973,991</a:t>
          </a:fld>
          <a:endParaRPr lang="en-ZM" sz="2000">
            <a:solidFill>
              <a:srgbClr val="002060"/>
            </a:solidFill>
          </a:endParaRPr>
        </a:p>
      </xdr:txBody>
    </xdr:sp>
    <xdr:clientData/>
  </xdr:twoCellAnchor>
  <xdr:twoCellAnchor>
    <xdr:from>
      <xdr:col>4</xdr:col>
      <xdr:colOff>536223</xdr:colOff>
      <xdr:row>5</xdr:row>
      <xdr:rowOff>42334</xdr:rowOff>
    </xdr:from>
    <xdr:to>
      <xdr:col>6</xdr:col>
      <xdr:colOff>712612</xdr:colOff>
      <xdr:row>8</xdr:row>
      <xdr:rowOff>35278</xdr:rowOff>
    </xdr:to>
    <xdr:sp macro="" textlink="Analysis!$B$13">
      <xdr:nvSpPr>
        <xdr:cNvPr id="13" name="Rectangle: Rounded Corners 12">
          <a:extLst>
            <a:ext uri="{FF2B5EF4-FFF2-40B4-BE49-F238E27FC236}">
              <a16:creationId xmlns:a16="http://schemas.microsoft.com/office/drawing/2014/main" id="{3D12512D-D4C3-461A-AD87-553B16FBD9B8}"/>
            </a:ext>
          </a:extLst>
        </xdr:cNvPr>
        <xdr:cNvSpPr/>
      </xdr:nvSpPr>
      <xdr:spPr>
        <a:xfrm>
          <a:off x="3711223" y="1241778"/>
          <a:ext cx="2405945" cy="811389"/>
        </a:xfrm>
        <a:prstGeom prst="roundRect">
          <a:avLst/>
        </a:prstGeom>
        <a:solidFill>
          <a:schemeClr val="bg2"/>
        </a:solidFill>
        <a:ln w="25400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20E233BF-C6FE-40AC-99A4-454ACCD9DE05}" type="TxLink">
            <a:rPr kumimoji="0" lang="en-US" sz="1800" b="0" i="0" u="none" strike="noStrike" kern="0" cap="none" spc="0" normalizeH="0" baseline="0" noProof="0" smtClean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Calibri"/>
              <a:ea typeface="Calibri"/>
              <a:cs typeface="Calibri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$8,722,422</a:t>
          </a:fld>
          <a:endParaRPr kumimoji="0" lang="en-ZM" sz="18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183444</xdr:colOff>
      <xdr:row>5</xdr:row>
      <xdr:rowOff>70556</xdr:rowOff>
    </xdr:from>
    <xdr:to>
      <xdr:col>8</xdr:col>
      <xdr:colOff>1097844</xdr:colOff>
      <xdr:row>7</xdr:row>
      <xdr:rowOff>303388</xdr:rowOff>
    </xdr:to>
    <xdr:sp macro="" textlink="Analysis!$B$14">
      <xdr:nvSpPr>
        <xdr:cNvPr id="14" name="Oval 13">
          <a:extLst>
            <a:ext uri="{FF2B5EF4-FFF2-40B4-BE49-F238E27FC236}">
              <a16:creationId xmlns:a16="http://schemas.microsoft.com/office/drawing/2014/main" id="{B2EB7645-9912-6FBE-93AC-0BC2F306104B}"/>
            </a:ext>
          </a:extLst>
        </xdr:cNvPr>
        <xdr:cNvSpPr/>
      </xdr:nvSpPr>
      <xdr:spPr>
        <a:xfrm>
          <a:off x="6505222" y="1270000"/>
          <a:ext cx="914400" cy="747888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D6514352-4880-4A6D-B213-D02BFBBA0CB3}" type="TxLink">
            <a:rPr lang="en-US" sz="18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7.8%</a:t>
          </a:fld>
          <a:endParaRPr lang="en-ZM" sz="1800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51502</xdr:colOff>
      <xdr:row>18</xdr:row>
      <xdr:rowOff>112889</xdr:rowOff>
    </xdr:from>
    <xdr:to>
      <xdr:col>14</xdr:col>
      <xdr:colOff>204611</xdr:colOff>
      <xdr:row>20</xdr:row>
      <xdr:rowOff>197556</xdr:rowOff>
    </xdr:to>
    <xdr:sp macro="" textlink="Analysis!$B$15">
      <xdr:nvSpPr>
        <xdr:cNvPr id="15" name="Rectangle: Rounded Corners 14">
          <a:extLst>
            <a:ext uri="{FF2B5EF4-FFF2-40B4-BE49-F238E27FC236}">
              <a16:creationId xmlns:a16="http://schemas.microsoft.com/office/drawing/2014/main" id="{B4D2DBD2-2359-395C-5A1F-3D73A73A6F18}"/>
            </a:ext>
          </a:extLst>
        </xdr:cNvPr>
        <xdr:cNvSpPr/>
      </xdr:nvSpPr>
      <xdr:spPr>
        <a:xfrm>
          <a:off x="10507835" y="4487333"/>
          <a:ext cx="1938165" cy="59266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4B07719-171E-4D68-9814-C7B97C8A81EF}" type="TxLink">
            <a:rPr lang="en-US" sz="1800" b="0" i="0" u="none" strike="noStrike">
              <a:solidFill>
                <a:srgbClr val="008000"/>
              </a:solidFill>
              <a:latin typeface="Calibri"/>
              <a:ea typeface="Calibri"/>
              <a:cs typeface="Calibri"/>
            </a:rPr>
            <a:pPr algn="l"/>
            <a:t>$117,899,322</a:t>
          </a:fld>
          <a:endParaRPr lang="en-ZM" sz="1800"/>
        </a:p>
      </xdr:txBody>
    </xdr:sp>
    <xdr:clientData/>
  </xdr:twoCellAnchor>
  <xdr:twoCellAnchor>
    <xdr:from>
      <xdr:col>12</xdr:col>
      <xdr:colOff>74085</xdr:colOff>
      <xdr:row>14</xdr:row>
      <xdr:rowOff>77611</xdr:rowOff>
    </xdr:from>
    <xdr:to>
      <xdr:col>14</xdr:col>
      <xdr:colOff>211666</xdr:colOff>
      <xdr:row>16</xdr:row>
      <xdr:rowOff>183444</xdr:rowOff>
    </xdr:to>
    <xdr:sp macro="" textlink="Analysis!$B$16">
      <xdr:nvSpPr>
        <xdr:cNvPr id="16" name="Rectangle: Rounded Corners 15">
          <a:extLst>
            <a:ext uri="{FF2B5EF4-FFF2-40B4-BE49-F238E27FC236}">
              <a16:creationId xmlns:a16="http://schemas.microsoft.com/office/drawing/2014/main" id="{98CFD5E4-F43B-4B4E-B9CF-4AE2B901FC6C}"/>
            </a:ext>
          </a:extLst>
        </xdr:cNvPr>
        <xdr:cNvSpPr/>
      </xdr:nvSpPr>
      <xdr:spPr>
        <a:xfrm>
          <a:off x="10530418" y="3386667"/>
          <a:ext cx="1922637" cy="61383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668411E-9ECA-43F9-9F94-06A501EB7C9F}" type="TxLink">
            <a:rPr lang="en-US" sz="1800" b="0" i="0" u="none" strike="noStrike">
              <a:solidFill>
                <a:srgbClr val="008000"/>
              </a:solidFill>
              <a:latin typeface="Calibri"/>
              <a:ea typeface="Calibri"/>
              <a:cs typeface="Calibri"/>
            </a:rPr>
            <a:pPr algn="l"/>
            <a:t>-$2,844,630</a:t>
          </a:fld>
          <a:endParaRPr lang="en-ZM" sz="1800"/>
        </a:p>
      </xdr:txBody>
    </xdr:sp>
    <xdr:clientData/>
  </xdr:twoCellAnchor>
  <xdr:twoCellAnchor>
    <xdr:from>
      <xdr:col>13</xdr:col>
      <xdr:colOff>370921</xdr:colOff>
      <xdr:row>9</xdr:row>
      <xdr:rowOff>154216</xdr:rowOff>
    </xdr:from>
    <xdr:to>
      <xdr:col>13</xdr:col>
      <xdr:colOff>1259920</xdr:colOff>
      <xdr:row>12</xdr:row>
      <xdr:rowOff>12095</xdr:rowOff>
    </xdr:to>
    <xdr:sp macro="" textlink="Analysis!$B$17">
      <xdr:nvSpPr>
        <xdr:cNvPr id="18" name="Oval 17">
          <a:extLst>
            <a:ext uri="{FF2B5EF4-FFF2-40B4-BE49-F238E27FC236}">
              <a16:creationId xmlns:a16="http://schemas.microsoft.com/office/drawing/2014/main" id="{081490B6-9B66-4CFB-B4CA-BF15DA93BFA7}"/>
            </a:ext>
          </a:extLst>
        </xdr:cNvPr>
        <xdr:cNvSpPr/>
      </xdr:nvSpPr>
      <xdr:spPr>
        <a:xfrm>
          <a:off x="11002635" y="2394859"/>
          <a:ext cx="888999" cy="647093"/>
        </a:xfrm>
        <a:prstGeom prst="ellipse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A3BBB43-7DC4-4C7F-A079-802FD26182E2}" type="TxLink">
            <a:rPr lang="en-US" sz="1600" b="0" i="0" u="none" strike="noStrike">
              <a:solidFill>
                <a:srgbClr val="008000"/>
              </a:solidFill>
              <a:latin typeface="Calibri"/>
              <a:ea typeface="Calibri"/>
              <a:cs typeface="Calibri"/>
            </a:rPr>
            <a:pPr algn="ctr"/>
            <a:t>-2.4%</a:t>
          </a:fld>
          <a:endParaRPr lang="en-ZM" sz="1600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39512</xdr:colOff>
      <xdr:row>5</xdr:row>
      <xdr:rowOff>254000</xdr:rowOff>
    </xdr:from>
    <xdr:to>
      <xdr:col>14</xdr:col>
      <xdr:colOff>290285</xdr:colOff>
      <xdr:row>7</xdr:row>
      <xdr:rowOff>159455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250F42F-34E1-6E62-B3AF-2D3E787BB2D0}"/>
            </a:ext>
          </a:extLst>
        </xdr:cNvPr>
        <xdr:cNvSpPr/>
      </xdr:nvSpPr>
      <xdr:spPr>
        <a:xfrm>
          <a:off x="10498869" y="1451429"/>
          <a:ext cx="2037845" cy="4134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Next 12M</a:t>
          </a:r>
          <a:r>
            <a:rPr lang="en-US" sz="1800" baseline="0"/>
            <a:t> Forecast</a:t>
          </a:r>
          <a:endParaRPr lang="en-ZM" sz="1800"/>
        </a:p>
      </xdr:txBody>
    </xdr:sp>
    <xdr:clientData/>
  </xdr:twoCellAnchor>
  <xdr:twoCellAnchor>
    <xdr:from>
      <xdr:col>14</xdr:col>
      <xdr:colOff>417284</xdr:colOff>
      <xdr:row>0</xdr:row>
      <xdr:rowOff>172357</xdr:rowOff>
    </xdr:from>
    <xdr:to>
      <xdr:col>17</xdr:col>
      <xdr:colOff>544284</xdr:colOff>
      <xdr:row>26</xdr:row>
      <xdr:rowOff>154214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AF3EC632-7CA8-48CC-D761-780C38F3FAFE}"/>
            </a:ext>
          </a:extLst>
        </xdr:cNvPr>
        <xdr:cNvSpPr txBox="1">
          <a:spLocks noChangeArrowheads="1"/>
        </xdr:cNvSpPr>
      </xdr:nvSpPr>
      <xdr:spPr bwMode="auto">
        <a:xfrm>
          <a:off x="12663713" y="172357"/>
          <a:ext cx="3474357" cy="636814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ZM" sz="2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Insights</a:t>
          </a:r>
        </a:p>
        <a:p>
          <a:pPr algn="l" rtl="0">
            <a:defRPr sz="1000"/>
          </a:pPr>
          <a:endParaRPr lang="en-ZM" sz="14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ZM" sz="1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• Revenue growth is primarily supported by seasonality and steady online performance.</a:t>
          </a:r>
          <a:endParaRPr lang="en-US" sz="1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ZM" sz="1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ZM" sz="1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• CAC improves as Marketplace share rises.</a:t>
          </a:r>
          <a:endParaRPr lang="en-US" sz="1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ZM" sz="1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ZM" sz="1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• Wholesale supports margin stability.</a:t>
          </a:r>
          <a:endParaRPr lang="en-US" sz="1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ZM" sz="1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ZM" sz="1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• EBITDA margin is most sensitive to Marketing % and gross margin shifts.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showGridLines="0" tabSelected="1" zoomScale="90" zoomScaleNormal="90" workbookViewId="0">
      <selection activeCell="A2" sqref="A2"/>
    </sheetView>
  </sheetViews>
  <sheetFormatPr defaultRowHeight="14.4" x14ac:dyDescent="0.3"/>
  <cols>
    <col min="1" max="2" width="16" customWidth="1"/>
    <col min="3" max="3" width="13.5546875" customWidth="1"/>
    <col min="4" max="4" width="16" hidden="1" customWidth="1"/>
    <col min="5" max="6" width="16" customWidth="1"/>
    <col min="7" max="7" width="13.109375" customWidth="1"/>
    <col min="8" max="8" width="16" hidden="1" customWidth="1"/>
    <col min="9" max="11" width="16" customWidth="1"/>
    <col min="12" max="12" width="11.21875" customWidth="1"/>
    <col min="13" max="13" width="2.44140625" customWidth="1"/>
    <col min="14" max="14" width="23.109375" style="48" customWidth="1"/>
    <col min="15" max="15" width="16" style="48" customWidth="1"/>
    <col min="16" max="17" width="16" customWidth="1"/>
  </cols>
  <sheetData>
    <row r="1" spans="1:17" ht="21" x14ac:dyDescent="0.4">
      <c r="A1" s="49" t="s">
        <v>157</v>
      </c>
    </row>
    <row r="2" spans="1:17" ht="21" x14ac:dyDescent="0.4">
      <c r="A2" s="105" t="s">
        <v>47</v>
      </c>
    </row>
    <row r="3" spans="1:17" ht="21" x14ac:dyDescent="0.4">
      <c r="A3" s="49"/>
    </row>
    <row r="5" spans="1:17" ht="19.95" customHeight="1" x14ac:dyDescent="0.3">
      <c r="A5" s="79" t="s">
        <v>0</v>
      </c>
      <c r="B5" s="79"/>
      <c r="C5" s="79"/>
      <c r="D5" s="79"/>
      <c r="E5" s="79" t="s">
        <v>1</v>
      </c>
      <c r="F5" s="79"/>
      <c r="G5" s="79"/>
      <c r="H5" s="79"/>
      <c r="I5" s="80" t="s">
        <v>2</v>
      </c>
      <c r="J5" s="80"/>
      <c r="K5" s="80"/>
      <c r="L5" s="80"/>
      <c r="O5" s="50"/>
      <c r="P5" s="50"/>
      <c r="Q5" s="50"/>
    </row>
    <row r="6" spans="1:17" ht="25.95" customHeight="1" x14ac:dyDescent="0.3"/>
    <row r="8" spans="1:17" ht="24" customHeight="1" x14ac:dyDescent="0.3">
      <c r="A8" s="1"/>
      <c r="B8" s="47"/>
      <c r="D8" s="63"/>
      <c r="E8" s="63"/>
      <c r="F8" s="63"/>
      <c r="G8" s="63"/>
      <c r="H8" s="63"/>
      <c r="I8" s="63"/>
      <c r="J8" s="63"/>
      <c r="K8" s="63"/>
      <c r="L8" s="63"/>
      <c r="M8" s="48"/>
      <c r="O8" s="64"/>
      <c r="P8" s="63"/>
      <c r="Q8" s="63"/>
    </row>
    <row r="9" spans="1:17" ht="18" customHeight="1" thickBot="1" x14ac:dyDescent="0.35">
      <c r="N9" s="66" t="s">
        <v>160</v>
      </c>
    </row>
    <row r="10" spans="1:17" ht="18" customHeight="1" thickBot="1" x14ac:dyDescent="0.35">
      <c r="N10" s="50"/>
    </row>
    <row r="11" spans="1:17" ht="19.95" customHeight="1" x14ac:dyDescent="0.3">
      <c r="A11" s="99" t="s">
        <v>3</v>
      </c>
      <c r="B11" s="100"/>
      <c r="C11" s="100"/>
      <c r="D11" s="101"/>
      <c r="E11" s="87"/>
      <c r="F11" s="88"/>
      <c r="G11" s="88"/>
      <c r="H11" s="89"/>
      <c r="I11" s="87"/>
      <c r="J11" s="88"/>
      <c r="K11" s="88"/>
      <c r="L11" s="89"/>
      <c r="O11" s="52"/>
      <c r="P11" s="65"/>
      <c r="Q11" s="65"/>
    </row>
    <row r="12" spans="1:17" ht="24" customHeight="1" thickBot="1" x14ac:dyDescent="0.35">
      <c r="A12" s="81" t="s">
        <v>4</v>
      </c>
      <c r="B12" s="82"/>
      <c r="C12" s="82"/>
      <c r="D12" s="83"/>
      <c r="E12" s="81" t="s">
        <v>5</v>
      </c>
      <c r="F12" s="82"/>
      <c r="G12" s="82"/>
      <c r="H12" s="83"/>
      <c r="I12" s="81" t="s">
        <v>6</v>
      </c>
      <c r="J12" s="82"/>
      <c r="K12" s="82"/>
      <c r="L12" s="83"/>
      <c r="M12" s="59"/>
      <c r="N12" s="53"/>
      <c r="O12" s="53"/>
      <c r="P12" s="65"/>
      <c r="Q12" s="65"/>
    </row>
    <row r="13" spans="1:17" ht="19.95" customHeight="1" thickBot="1" x14ac:dyDescent="0.35">
      <c r="A13" s="90">
        <f>Analysis!$B$8</f>
        <v>8640981.1325286292</v>
      </c>
      <c r="B13" s="91"/>
      <c r="C13" s="91"/>
      <c r="D13" s="92"/>
      <c r="E13" s="97">
        <f>Analysis!$B$9</f>
        <v>0.3533972063696682</v>
      </c>
      <c r="F13" s="91"/>
      <c r="G13" s="91"/>
      <c r="H13" s="92"/>
      <c r="I13" s="96">
        <f>Analysis!$B$11</f>
        <v>510075.02586196223</v>
      </c>
      <c r="J13" s="91"/>
      <c r="K13" s="91"/>
      <c r="L13" s="92"/>
      <c r="M13" s="60"/>
      <c r="O13" s="54"/>
      <c r="P13" s="65"/>
      <c r="Q13" s="65"/>
    </row>
    <row r="14" spans="1:17" ht="19.95" customHeight="1" thickBot="1" x14ac:dyDescent="0.35">
      <c r="A14" s="93"/>
      <c r="B14" s="94"/>
      <c r="C14" s="94"/>
      <c r="D14" s="95"/>
      <c r="E14" s="93"/>
      <c r="F14" s="94"/>
      <c r="G14" s="94"/>
      <c r="H14" s="95"/>
      <c r="I14" s="93"/>
      <c r="J14" s="94"/>
      <c r="K14" s="94"/>
      <c r="L14" s="95"/>
      <c r="N14" s="66" t="s">
        <v>159</v>
      </c>
      <c r="O14" s="54"/>
      <c r="P14" s="65"/>
      <c r="Q14" s="65"/>
    </row>
    <row r="15" spans="1:17" ht="19.95" customHeight="1" x14ac:dyDescent="0.3">
      <c r="A15" s="98">
        <f>Analysis!$B$7</f>
        <v>46081</v>
      </c>
      <c r="B15" s="85"/>
      <c r="C15" s="85"/>
      <c r="D15" s="86"/>
      <c r="E15" s="84"/>
      <c r="F15" s="85"/>
      <c r="G15" s="85"/>
      <c r="H15" s="86"/>
      <c r="I15" s="84"/>
      <c r="J15" s="85"/>
      <c r="K15" s="85"/>
      <c r="L15" s="86"/>
      <c r="M15" s="61"/>
      <c r="O15" s="55"/>
      <c r="P15" s="65"/>
      <c r="Q15" s="65"/>
    </row>
    <row r="16" spans="1:17" ht="19.95" customHeight="1" x14ac:dyDescent="0.3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N16" s="55"/>
      <c r="O16" s="55"/>
      <c r="P16" s="65"/>
      <c r="Q16" s="65"/>
    </row>
    <row r="17" spans="1:17" ht="19.95" customHeight="1" x14ac:dyDescent="0.3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O17" s="55"/>
      <c r="P17" s="65"/>
      <c r="Q17" s="65"/>
    </row>
    <row r="18" spans="1:17" ht="24" customHeight="1" thickBot="1" x14ac:dyDescent="0.35">
      <c r="N18" s="66" t="s">
        <v>158</v>
      </c>
      <c r="O18" s="51"/>
      <c r="P18" s="65"/>
      <c r="Q18" s="65"/>
    </row>
    <row r="19" spans="1:17" ht="19.95" customHeight="1" x14ac:dyDescent="0.3">
      <c r="M19" s="62"/>
      <c r="O19" s="56"/>
      <c r="P19" s="65"/>
      <c r="Q19" s="65"/>
    </row>
    <row r="20" spans="1:17" ht="19.95" customHeight="1" x14ac:dyDescent="0.3">
      <c r="M20" s="62"/>
      <c r="O20" s="56"/>
      <c r="P20" s="65"/>
      <c r="Q20" s="65"/>
    </row>
    <row r="21" spans="1:17" ht="24" customHeight="1" x14ac:dyDescent="0.3">
      <c r="P21" s="65"/>
      <c r="Q21" s="65"/>
    </row>
    <row r="22" spans="1:17" ht="19.95" customHeight="1" x14ac:dyDescent="0.3"/>
    <row r="23" spans="1:17" ht="19.95" customHeight="1" x14ac:dyDescent="0.3"/>
    <row r="24" spans="1:17" ht="18" customHeight="1" x14ac:dyDescent="0.3"/>
    <row r="25" spans="1:17" ht="18" customHeight="1" x14ac:dyDescent="0.3"/>
    <row r="26" spans="1:17" ht="18" customHeight="1" x14ac:dyDescent="0.3"/>
    <row r="29" spans="1:17" x14ac:dyDescent="0.3">
      <c r="N29" s="48" t="s">
        <v>161</v>
      </c>
    </row>
  </sheetData>
  <mergeCells count="15">
    <mergeCell ref="A5:D5"/>
    <mergeCell ref="E5:H5"/>
    <mergeCell ref="I5:L5"/>
    <mergeCell ref="E12:H12"/>
    <mergeCell ref="E15:H15"/>
    <mergeCell ref="E11:H11"/>
    <mergeCell ref="A13:D14"/>
    <mergeCell ref="I13:L14"/>
    <mergeCell ref="E13:H14"/>
    <mergeCell ref="I12:L12"/>
    <mergeCell ref="A12:D12"/>
    <mergeCell ref="A15:D15"/>
    <mergeCell ref="I15:L15"/>
    <mergeCell ref="A11:D11"/>
    <mergeCell ref="I11:L11"/>
  </mergeCells>
  <dataValidations count="1">
    <dataValidation type="list" allowBlank="1" showInputMessage="1" showErrorMessage="1" sqref="A2" xr:uid="{5EB88A70-E40C-47D2-A5DE-A5E3368E28CC}">
      <formula1>"Base,Upside,Downside"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showGridLines="0" workbookViewId="0">
      <selection activeCell="B15" sqref="B15"/>
    </sheetView>
  </sheetViews>
  <sheetFormatPr defaultRowHeight="14.4" x14ac:dyDescent="0.3"/>
  <cols>
    <col min="1" max="1" width="30" customWidth="1"/>
    <col min="2" max="2" width="18" customWidth="1"/>
    <col min="3" max="3" width="2" customWidth="1"/>
    <col min="4" max="4" width="22" customWidth="1"/>
    <col min="5" max="5" width="16" customWidth="1"/>
    <col min="6" max="6" width="18" customWidth="1"/>
    <col min="7" max="7" width="16" customWidth="1"/>
    <col min="8" max="8" width="10" customWidth="1"/>
    <col min="11" max="11" width="10" customWidth="1"/>
    <col min="12" max="12" width="12" customWidth="1"/>
  </cols>
  <sheetData>
    <row r="1" spans="1:12" ht="24" customHeight="1" x14ac:dyDescent="0.3">
      <c r="A1" s="78" t="s">
        <v>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4" customHeight="1" x14ac:dyDescent="0.3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4" spans="1:12" x14ac:dyDescent="0.3">
      <c r="A4" s="102" t="s">
        <v>11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6" spans="1:12" x14ac:dyDescent="0.3">
      <c r="A6" s="6" t="s">
        <v>12</v>
      </c>
      <c r="B6" s="6" t="s">
        <v>13</v>
      </c>
      <c r="D6" s="102" t="s">
        <v>14</v>
      </c>
      <c r="E6" s="73"/>
      <c r="F6" s="73"/>
      <c r="G6" s="73"/>
      <c r="H6" s="73"/>
      <c r="K6" s="29" t="s">
        <v>15</v>
      </c>
      <c r="L6" s="31">
        <f>INDEX(Model_PnL!$A$7:$A$42,MATCH($B$7,Model_PnL!$A$7:$A$42,0)-11)</f>
        <v>45747</v>
      </c>
    </row>
    <row r="7" spans="1:12" x14ac:dyDescent="0.3">
      <c r="A7" s="7" t="s">
        <v>16</v>
      </c>
      <c r="B7" s="32">
        <f>MAX(Model_PnL!$A$7:$A$42)</f>
        <v>46081</v>
      </c>
      <c r="D7" s="103" t="s">
        <v>17</v>
      </c>
      <c r="E7" s="73"/>
      <c r="F7" s="103" t="s">
        <v>18</v>
      </c>
      <c r="G7" s="73"/>
      <c r="H7" s="33" t="s">
        <v>19</v>
      </c>
      <c r="K7" s="29" t="s">
        <v>20</v>
      </c>
      <c r="L7" s="31">
        <f>$B$7</f>
        <v>46081</v>
      </c>
    </row>
    <row r="8" spans="1:12" x14ac:dyDescent="0.3">
      <c r="A8" s="7" t="s">
        <v>4</v>
      </c>
      <c r="B8" s="34">
        <f>INDEX(Model_PnL!$C$7:$C$42,MATCH($B$7,Model_PnL!$A$7:$A$42,0))</f>
        <v>8640981.1325286292</v>
      </c>
      <c r="D8" s="35" t="s">
        <v>21</v>
      </c>
      <c r="E8" s="35" t="s">
        <v>22</v>
      </c>
      <c r="F8" s="35" t="s">
        <v>23</v>
      </c>
      <c r="G8" s="35" t="s">
        <v>22</v>
      </c>
      <c r="H8" s="35" t="s">
        <v>19</v>
      </c>
    </row>
    <row r="9" spans="1:12" x14ac:dyDescent="0.3">
      <c r="A9" s="7" t="s">
        <v>5</v>
      </c>
      <c r="B9" s="36">
        <f>INDEX(Model_PnL!$F$7:$F$42,MATCH($B$7,Model_PnL!$A$7:$A$42,0))</f>
        <v>0.3533972063696682</v>
      </c>
      <c r="D9" s="7" t="s">
        <v>24</v>
      </c>
      <c r="E9" s="42">
        <v>44295375.530245587</v>
      </c>
      <c r="F9" s="7" t="s">
        <v>25</v>
      </c>
      <c r="G9" s="42">
        <v>65593132.598046467</v>
      </c>
      <c r="H9" s="21">
        <f>IFERROR(G9/SUM($G$9:$G$11),0)</f>
        <v>0.58578900390226951</v>
      </c>
    </row>
    <row r="10" spans="1:12" x14ac:dyDescent="0.3">
      <c r="A10" s="7" t="s">
        <v>26</v>
      </c>
      <c r="B10" s="36">
        <f>INDEX(Model_PnL!$L$7:$L$42,MATCH($B$7,Model_PnL!$A$7:$A$42,0))</f>
        <v>5.9029758084045009E-2</v>
      </c>
      <c r="D10" s="7" t="s">
        <v>27</v>
      </c>
      <c r="E10" s="42">
        <v>34350416.332552068</v>
      </c>
      <c r="F10" s="7" t="s">
        <v>28</v>
      </c>
      <c r="G10" s="42">
        <v>26457806.906760391</v>
      </c>
      <c r="H10" s="21">
        <f>IFERROR(G10/SUM($G$9:$G$11),0)</f>
        <v>0.23628528993005202</v>
      </c>
    </row>
    <row r="11" spans="1:12" x14ac:dyDescent="0.3">
      <c r="A11" s="7" t="s">
        <v>6</v>
      </c>
      <c r="B11" s="37">
        <f>INDEX(Model_PnL!$O$7:$O$42,MATCH($B$7,Model_PnL!$A$7:$A$42,0))</f>
        <v>510075.02586196223</v>
      </c>
      <c r="D11" s="7" t="s">
        <v>29</v>
      </c>
      <c r="E11" s="42">
        <v>23616231.154407799</v>
      </c>
      <c r="F11" s="7" t="s">
        <v>30</v>
      </c>
      <c r="G11" s="42">
        <v>19923051.40504938</v>
      </c>
      <c r="H11" s="21">
        <f>IFERROR(G11/SUM($G$9:$G$11),0)</f>
        <v>0.17792570616767844</v>
      </c>
    </row>
    <row r="12" spans="1:12" x14ac:dyDescent="0.3">
      <c r="A12" s="7" t="s">
        <v>0</v>
      </c>
      <c r="B12" s="34">
        <f>SUM(Model_PnL!$C$31:$C$42)</f>
        <v>111973990.90985626</v>
      </c>
      <c r="D12" s="7" t="s">
        <v>31</v>
      </c>
      <c r="E12" s="42">
        <v>9711967.8926508073</v>
      </c>
    </row>
    <row r="13" spans="1:12" x14ac:dyDescent="0.3">
      <c r="A13" s="7" t="s">
        <v>1</v>
      </c>
      <c r="B13" s="34">
        <f>SUM(Model_PnL!$K$31:$K$42)</f>
        <v>8722421.7331895903</v>
      </c>
      <c r="D13" s="102" t="s">
        <v>32</v>
      </c>
      <c r="E13" s="73"/>
      <c r="F13" s="73"/>
      <c r="G13" s="73"/>
      <c r="H13" s="73"/>
    </row>
    <row r="14" spans="1:12" ht="28.95" customHeight="1" x14ac:dyDescent="0.3">
      <c r="A14" s="7" t="s">
        <v>2</v>
      </c>
      <c r="B14" s="36">
        <f>IFERROR(SUM(Model_PnL!$K$31:$K$42)/SUM(Model_PnL!$C$31:$C$42),0)</f>
        <v>7.7896854995652548E-2</v>
      </c>
      <c r="D14" s="38" t="s">
        <v>33</v>
      </c>
      <c r="E14" s="39">
        <f>IFERROR((SUM(Model_PnL!$C$31:$C$42)-SUM(Model_PnL!$C$19:$C$30))/SUM(Model_PnL!$C$19:$C$30),0)</f>
        <v>0.2034974581048663</v>
      </c>
    </row>
    <row r="15" spans="1:12" x14ac:dyDescent="0.3">
      <c r="A15" s="7" t="s">
        <v>7</v>
      </c>
      <c r="B15" s="34">
        <f>SUM('Forecast Engine'!$E$11:$E$22)</f>
        <v>117899321.9539365</v>
      </c>
      <c r="D15" s="38" t="s">
        <v>34</v>
      </c>
      <c r="E15" s="39">
        <f>IFERROR(SUM(Model_PnL!$E$31:$E$42)/SUM(Model_PnL!$C$31:$C$42),0)</f>
        <v>0.35177459970652047</v>
      </c>
    </row>
    <row r="16" spans="1:12" ht="28.95" customHeight="1" x14ac:dyDescent="0.3">
      <c r="A16" s="7" t="s">
        <v>8</v>
      </c>
      <c r="B16" s="34">
        <f>SUM('Forecast Engine'!$J$11:$J$22)</f>
        <v>-2844629.538089525</v>
      </c>
      <c r="D16" s="38" t="s">
        <v>35</v>
      </c>
      <c r="E16" s="39">
        <f>IFERROR(SUM(Model_PnL!$G$31:$G$42)/SUM(Model_PnL!$C$31:$C$42),0)</f>
        <v>4.8045094099851852E-2</v>
      </c>
    </row>
    <row r="17" spans="1:5" ht="28.95" customHeight="1" x14ac:dyDescent="0.3">
      <c r="A17" s="7" t="s">
        <v>9</v>
      </c>
      <c r="B17" s="36">
        <f>IFERROR(SUM('Forecast Engine'!$J$11:$J$22)/SUM('Forecast Engine'!$E$11:$E$22),0)</f>
        <v>-2.4127615756780411E-2</v>
      </c>
      <c r="D17" s="38" t="s">
        <v>36</v>
      </c>
      <c r="E17" s="39">
        <f>IFERROR((AVERAGE(Model_PnL!$O$37:$O$42)-AVERAGE(Model_PnL!$O$31:$O$36))/AVERAGE(Model_PnL!$O$31:$O$36),0)</f>
        <v>0.24151618551194909</v>
      </c>
    </row>
  </sheetData>
  <mergeCells count="6">
    <mergeCell ref="D6:H6"/>
    <mergeCell ref="D7:E7"/>
    <mergeCell ref="A1:L2"/>
    <mergeCell ref="D13:H13"/>
    <mergeCell ref="A4:L4"/>
    <mergeCell ref="F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zoomScale="95" workbookViewId="0">
      <selection activeCell="C6" sqref="C6"/>
    </sheetView>
  </sheetViews>
  <sheetFormatPr defaultRowHeight="14.4" x14ac:dyDescent="0.3"/>
  <cols>
    <col min="1" max="1" width="38" customWidth="1"/>
    <col min="2" max="2" width="15" customWidth="1"/>
    <col min="3" max="3" width="12" customWidth="1"/>
    <col min="4" max="4" width="15" customWidth="1"/>
    <col min="5" max="5" width="12" customWidth="1"/>
    <col min="6" max="6" width="2" customWidth="1"/>
    <col min="7" max="8" width="28" customWidth="1"/>
  </cols>
  <sheetData>
    <row r="1" spans="1:8" ht="24" customHeight="1" x14ac:dyDescent="0.3">
      <c r="A1" s="78" t="s">
        <v>37</v>
      </c>
      <c r="B1" s="73"/>
      <c r="C1" s="73"/>
      <c r="D1" s="73"/>
      <c r="E1" s="73"/>
      <c r="F1" s="73"/>
      <c r="G1" s="73"/>
      <c r="H1" s="73"/>
    </row>
    <row r="2" spans="1:8" ht="24" customHeight="1" x14ac:dyDescent="0.3">
      <c r="A2" s="73"/>
      <c r="B2" s="73"/>
      <c r="C2" s="73"/>
      <c r="D2" s="73"/>
      <c r="E2" s="73"/>
      <c r="F2" s="73"/>
      <c r="G2" s="73"/>
      <c r="H2" s="73"/>
    </row>
    <row r="3" spans="1:8" x14ac:dyDescent="0.3">
      <c r="G3" t="s">
        <v>162</v>
      </c>
    </row>
    <row r="4" spans="1:8" x14ac:dyDescent="0.3">
      <c r="A4" s="1" t="s">
        <v>38</v>
      </c>
      <c r="B4" s="3" t="str">
        <f>Dashboard!A2</f>
        <v>Downside</v>
      </c>
      <c r="C4" s="4" t="s">
        <v>40</v>
      </c>
      <c r="D4" s="1" t="s">
        <v>41</v>
      </c>
      <c r="E4" s="3" t="s">
        <v>42</v>
      </c>
      <c r="G4" s="69" t="s">
        <v>43</v>
      </c>
      <c r="H4" s="71"/>
    </row>
    <row r="5" spans="1:8" x14ac:dyDescent="0.3">
      <c r="B5" s="2" t="s">
        <v>44</v>
      </c>
      <c r="C5" s="5">
        <f>MATCH($B$4,$A$7:$A$9,0)</f>
        <v>3</v>
      </c>
      <c r="G5" s="72"/>
      <c r="H5" s="74"/>
    </row>
    <row r="6" spans="1:8" x14ac:dyDescent="0.3">
      <c r="A6" s="67" t="s">
        <v>45</v>
      </c>
      <c r="G6" s="72"/>
      <c r="H6" s="74"/>
    </row>
    <row r="7" spans="1:8" x14ac:dyDescent="0.3">
      <c r="A7" s="68" t="s">
        <v>46</v>
      </c>
      <c r="G7" s="72"/>
      <c r="H7" s="74"/>
    </row>
    <row r="8" spans="1:8" x14ac:dyDescent="0.3">
      <c r="A8" s="68" t="s">
        <v>39</v>
      </c>
      <c r="G8" s="75"/>
      <c r="H8" s="77"/>
    </row>
    <row r="9" spans="1:8" x14ac:dyDescent="0.3">
      <c r="A9" s="68" t="s">
        <v>47</v>
      </c>
    </row>
    <row r="10" spans="1:8" x14ac:dyDescent="0.3">
      <c r="A10" s="102" t="s">
        <v>163</v>
      </c>
      <c r="B10" s="73"/>
      <c r="C10" s="73"/>
      <c r="D10" s="73"/>
      <c r="E10" s="73"/>
      <c r="F10" s="73"/>
      <c r="G10" s="73"/>
      <c r="H10" s="73"/>
    </row>
    <row r="11" spans="1:8" x14ac:dyDescent="0.3">
      <c r="A11" s="6" t="s">
        <v>48</v>
      </c>
      <c r="B11" s="6" t="s">
        <v>46</v>
      </c>
      <c r="C11" s="6" t="s">
        <v>39</v>
      </c>
      <c r="D11" s="6" t="s">
        <v>47</v>
      </c>
      <c r="E11" s="6" t="s">
        <v>49</v>
      </c>
    </row>
    <row r="12" spans="1:8" x14ac:dyDescent="0.3">
      <c r="A12" s="7" t="s">
        <v>50</v>
      </c>
      <c r="B12" s="8">
        <v>0</v>
      </c>
      <c r="C12" s="8">
        <v>7.0000000000000007E-2</v>
      </c>
      <c r="D12" s="8">
        <v>-0.06</v>
      </c>
      <c r="E12" s="9">
        <f t="shared" ref="E12:E17" si="0">CHOOSE($C$5,B12,C12,D12)</f>
        <v>-0.06</v>
      </c>
    </row>
    <row r="13" spans="1:8" x14ac:dyDescent="0.3">
      <c r="A13" s="7" t="s">
        <v>51</v>
      </c>
      <c r="B13" s="10">
        <v>0</v>
      </c>
      <c r="C13" s="10">
        <v>80</v>
      </c>
      <c r="D13" s="10">
        <v>-120</v>
      </c>
      <c r="E13" s="11">
        <f t="shared" si="0"/>
        <v>-120</v>
      </c>
    </row>
    <row r="14" spans="1:8" x14ac:dyDescent="0.3">
      <c r="A14" s="7" t="s">
        <v>52</v>
      </c>
      <c r="B14" s="8">
        <v>0.12</v>
      </c>
      <c r="C14" s="8">
        <v>0.11</v>
      </c>
      <c r="D14" s="8">
        <v>0.14000000000000001</v>
      </c>
      <c r="E14" s="9">
        <f t="shared" si="0"/>
        <v>0.14000000000000001</v>
      </c>
    </row>
    <row r="15" spans="1:8" x14ac:dyDescent="0.3">
      <c r="A15" s="7" t="s">
        <v>53</v>
      </c>
      <c r="B15" s="8">
        <v>0.06</v>
      </c>
      <c r="C15" s="8">
        <v>0.04</v>
      </c>
      <c r="D15" s="8">
        <v>0.09</v>
      </c>
      <c r="E15" s="9">
        <f t="shared" si="0"/>
        <v>0.09</v>
      </c>
    </row>
    <row r="16" spans="1:8" x14ac:dyDescent="0.3">
      <c r="A16" s="7" t="s">
        <v>54</v>
      </c>
      <c r="B16" s="8">
        <v>0.03</v>
      </c>
      <c r="C16" s="8">
        <v>0.05</v>
      </c>
      <c r="D16" s="8">
        <v>0.01</v>
      </c>
      <c r="E16" s="9">
        <f t="shared" si="0"/>
        <v>0.01</v>
      </c>
    </row>
    <row r="17" spans="1:8" x14ac:dyDescent="0.3">
      <c r="A17" s="7" t="s">
        <v>55</v>
      </c>
      <c r="B17" s="8">
        <v>7.0000000000000007E-2</v>
      </c>
      <c r="C17" s="8">
        <v>0.1</v>
      </c>
      <c r="D17" s="8">
        <v>0.03</v>
      </c>
      <c r="E17" s="9">
        <f t="shared" si="0"/>
        <v>0.03</v>
      </c>
    </row>
    <row r="20" spans="1:8" x14ac:dyDescent="0.3">
      <c r="A20" s="104"/>
      <c r="B20" s="73"/>
      <c r="C20" s="73"/>
      <c r="D20" s="73"/>
      <c r="E20" s="73"/>
      <c r="F20" s="73"/>
      <c r="G20" s="73"/>
      <c r="H20" s="73"/>
    </row>
  </sheetData>
  <mergeCells count="4">
    <mergeCell ref="A1:H2"/>
    <mergeCell ref="A20:H20"/>
    <mergeCell ref="G4:H8"/>
    <mergeCell ref="A10:H10"/>
  </mergeCells>
  <dataValidations count="1">
    <dataValidation type="list" allowBlank="1" showInputMessage="1" showErrorMessage="1" sqref="B4" xr:uid="{00000000-0002-0000-0200-000000000000}">
      <formula1>"Base,Upside,Downside"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4"/>
  <sheetViews>
    <sheetView showGridLines="0" topLeftCell="A3" workbookViewId="0">
      <selection activeCell="K14" sqref="K14"/>
    </sheetView>
  </sheetViews>
  <sheetFormatPr defaultRowHeight="14.4" x14ac:dyDescent="0.3"/>
  <cols>
    <col min="1" max="1" width="10" customWidth="1"/>
    <col min="2" max="2" width="5" customWidth="1"/>
    <col min="3" max="3" width="14" customWidth="1"/>
    <col min="4" max="4" width="12" customWidth="1"/>
    <col min="5" max="5" width="13" customWidth="1"/>
    <col min="6" max="6" width="8" customWidth="1"/>
    <col min="7" max="7" width="14" customWidth="1"/>
    <col min="8" max="11" width="12" customWidth="1"/>
    <col min="12" max="12" width="9" customWidth="1"/>
    <col min="13" max="13" width="10" customWidth="1"/>
    <col min="14" max="14" width="13" customWidth="1"/>
    <col min="15" max="15" width="9" customWidth="1"/>
    <col min="16" max="16" width="12" customWidth="1"/>
    <col min="17" max="17" width="16" customWidth="1"/>
  </cols>
  <sheetData>
    <row r="1" spans="1:17" ht="24" customHeight="1" x14ac:dyDescent="0.3">
      <c r="A1" s="78" t="s">
        <v>56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t="24" customHeight="1" x14ac:dyDescent="0.3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4" spans="1:17" x14ac:dyDescent="0.3">
      <c r="A4" s="104" t="s">
        <v>57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</row>
    <row r="6" spans="1:17" ht="25.95" customHeight="1" x14ac:dyDescent="0.3">
      <c r="A6" s="6" t="s">
        <v>58</v>
      </c>
      <c r="B6" s="6" t="s">
        <v>59</v>
      </c>
      <c r="C6" s="6" t="s">
        <v>60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65</v>
      </c>
      <c r="I6" s="6" t="s">
        <v>66</v>
      </c>
      <c r="J6" s="6" t="s">
        <v>67</v>
      </c>
      <c r="K6" s="6" t="s">
        <v>68</v>
      </c>
      <c r="L6" s="6" t="s">
        <v>69</v>
      </c>
      <c r="M6" s="46" t="s">
        <v>70</v>
      </c>
      <c r="N6" s="46" t="s">
        <v>71</v>
      </c>
      <c r="O6" s="46" t="s">
        <v>72</v>
      </c>
      <c r="P6" s="46" t="s">
        <v>73</v>
      </c>
      <c r="Q6" s="6" t="s">
        <v>74</v>
      </c>
    </row>
    <row r="7" spans="1:17" x14ac:dyDescent="0.3">
      <c r="A7" s="13">
        <v>45016</v>
      </c>
      <c r="B7" s="20">
        <v>1</v>
      </c>
      <c r="C7" s="34">
        <f>Agg_Monthly!$B$2</f>
        <v>6111106.6923861532</v>
      </c>
      <c r="D7" s="34">
        <f>Agg_Monthly!$C$2</f>
        <v>4028660.1</v>
      </c>
      <c r="E7" s="17">
        <f t="shared" ref="E7:E54" si="0">C7-D7</f>
        <v>2082446.5923861531</v>
      </c>
      <c r="F7" s="21">
        <f t="shared" ref="F7:F54" si="1">IFERROR(E7/C7,0)</f>
        <v>0.34076423423938579</v>
      </c>
      <c r="G7" s="34">
        <f>Agg_Monthly!$D$2</f>
        <v>287718.37</v>
      </c>
      <c r="H7" s="34">
        <f>Agg_Opex!$B$2</f>
        <v>794929.83333333337</v>
      </c>
      <c r="I7" s="34">
        <f>Agg_Opex!$C$2</f>
        <v>982398</v>
      </c>
      <c r="J7" s="17">
        <f t="shared" ref="J7:J54" si="2">G7+H7+I7</f>
        <v>2065046.2033333334</v>
      </c>
      <c r="K7" s="17">
        <f t="shared" ref="K7:K54" si="3">E7-G7-H7-I7</f>
        <v>17400.389052819577</v>
      </c>
      <c r="L7" s="21">
        <f t="shared" ref="L7:L54" si="4">IFERROR(K7/C7,0)</f>
        <v>2.847338449269553E-3</v>
      </c>
      <c r="M7" s="34">
        <f t="shared" ref="M7:M54" si="5">IF(ROW()&lt;43,C7,NA())</f>
        <v>6111106.6923861532</v>
      </c>
      <c r="N7" s="34" t="e">
        <f t="shared" ref="N7:N54" si="6">IF(ROW()&gt;=43,C7,NA())</f>
        <v>#N/A</v>
      </c>
      <c r="O7" s="17">
        <f t="shared" ref="O7:O54" si="7">IF(ROW()&lt;43,K7,NA())</f>
        <v>17400.389052819577</v>
      </c>
      <c r="P7" s="17" t="e">
        <f t="shared" ref="P7:P54" si="8">IF(ROW()&gt;=43,K7,NA())</f>
        <v>#N/A</v>
      </c>
      <c r="Q7" s="17" t="str">
        <f t="shared" ref="Q7:Q42" si="9">IF($B7&gt;2,SUM(C5:C7),"")</f>
        <v/>
      </c>
    </row>
    <row r="8" spans="1:17" x14ac:dyDescent="0.3">
      <c r="A8" s="13">
        <v>45046</v>
      </c>
      <c r="B8" s="20">
        <v>2</v>
      </c>
      <c r="C8" s="34">
        <f>Agg_Monthly!$B$3</f>
        <v>6112814.294749245</v>
      </c>
      <c r="D8" s="34">
        <f>Agg_Monthly!$C$3</f>
        <v>4049039.15</v>
      </c>
      <c r="E8" s="17">
        <f t="shared" si="0"/>
        <v>2063775.1447492451</v>
      </c>
      <c r="F8" s="21">
        <f t="shared" si="1"/>
        <v>0.33761456593274503</v>
      </c>
      <c r="G8" s="34">
        <f>Agg_Monthly!$D$3</f>
        <v>323051.33</v>
      </c>
      <c r="H8" s="34">
        <f>Agg_Opex!$B$3</f>
        <v>818939.33333333326</v>
      </c>
      <c r="I8" s="34">
        <f>Agg_Opex!$C$3</f>
        <v>1011498</v>
      </c>
      <c r="J8" s="17">
        <f t="shared" si="2"/>
        <v>2153488.6633333331</v>
      </c>
      <c r="K8" s="17">
        <f t="shared" si="3"/>
        <v>-89713.51858408819</v>
      </c>
      <c r="L8" s="21">
        <f t="shared" si="4"/>
        <v>-1.4676303623545356E-2</v>
      </c>
      <c r="M8" s="34">
        <f t="shared" si="5"/>
        <v>6112814.294749245</v>
      </c>
      <c r="N8" s="34" t="e">
        <f t="shared" si="6"/>
        <v>#N/A</v>
      </c>
      <c r="O8" s="17">
        <f t="shared" si="7"/>
        <v>-89713.51858408819</v>
      </c>
      <c r="P8" s="17" t="e">
        <f t="shared" si="8"/>
        <v>#N/A</v>
      </c>
      <c r="Q8" s="17" t="str">
        <f t="shared" si="9"/>
        <v/>
      </c>
    </row>
    <row r="9" spans="1:17" x14ac:dyDescent="0.3">
      <c r="A9" s="13">
        <v>45077</v>
      </c>
      <c r="B9" s="20">
        <v>3</v>
      </c>
      <c r="C9" s="34">
        <f>Agg_Monthly!$B$4</f>
        <v>6464674.8755981876</v>
      </c>
      <c r="D9" s="34">
        <f>Agg_Monthly!$C$4</f>
        <v>4220475.59</v>
      </c>
      <c r="E9" s="17">
        <f t="shared" si="0"/>
        <v>2244199.2855981877</v>
      </c>
      <c r="F9" s="21">
        <f t="shared" si="1"/>
        <v>0.34714805133808496</v>
      </c>
      <c r="G9" s="34">
        <f>Agg_Monthly!$D$4</f>
        <v>331177.31</v>
      </c>
      <c r="H9" s="34">
        <f>Agg_Opex!$B$4</f>
        <v>824754.5</v>
      </c>
      <c r="I9" s="34">
        <f>Agg_Opex!$C$4</f>
        <v>950921</v>
      </c>
      <c r="J9" s="17">
        <f t="shared" si="2"/>
        <v>2106852.81</v>
      </c>
      <c r="K9" s="17">
        <f t="shared" si="3"/>
        <v>137346.47559818765</v>
      </c>
      <c r="L9" s="21">
        <f t="shared" si="4"/>
        <v>2.1245689573132439E-2</v>
      </c>
      <c r="M9" s="34">
        <f t="shared" si="5"/>
        <v>6464674.8755981876</v>
      </c>
      <c r="N9" s="34" t="e">
        <f t="shared" si="6"/>
        <v>#N/A</v>
      </c>
      <c r="O9" s="17">
        <f t="shared" si="7"/>
        <v>137346.47559818765</v>
      </c>
      <c r="P9" s="17" t="e">
        <f t="shared" si="8"/>
        <v>#N/A</v>
      </c>
      <c r="Q9" s="17">
        <f t="shared" si="9"/>
        <v>18688595.862733588</v>
      </c>
    </row>
    <row r="10" spans="1:17" x14ac:dyDescent="0.3">
      <c r="A10" s="13">
        <v>45107</v>
      </c>
      <c r="B10" s="20">
        <v>4</v>
      </c>
      <c r="C10" s="34">
        <f>Agg_Monthly!$B$5</f>
        <v>6892942.5152801974</v>
      </c>
      <c r="D10" s="34">
        <f>Agg_Monthly!$C$5</f>
        <v>4524379.95</v>
      </c>
      <c r="E10" s="17">
        <f t="shared" si="0"/>
        <v>2368562.5652801972</v>
      </c>
      <c r="F10" s="21">
        <f t="shared" si="1"/>
        <v>0.34362140116932566</v>
      </c>
      <c r="G10" s="34">
        <f>Agg_Monthly!$D$5</f>
        <v>390841.65</v>
      </c>
      <c r="H10" s="34">
        <f>Agg_Opex!$B$5</f>
        <v>800499.16666666663</v>
      </c>
      <c r="I10" s="34">
        <f>Agg_Opex!$C$5</f>
        <v>991353</v>
      </c>
      <c r="J10" s="17">
        <f t="shared" si="2"/>
        <v>2182693.8166666664</v>
      </c>
      <c r="K10" s="17">
        <f t="shared" si="3"/>
        <v>185868.74861353077</v>
      </c>
      <c r="L10" s="21">
        <f t="shared" si="4"/>
        <v>2.6965080326942958E-2</v>
      </c>
      <c r="M10" s="34">
        <f t="shared" si="5"/>
        <v>6892942.5152801974</v>
      </c>
      <c r="N10" s="34" t="e">
        <f t="shared" si="6"/>
        <v>#N/A</v>
      </c>
      <c r="O10" s="17">
        <f t="shared" si="7"/>
        <v>185868.74861353077</v>
      </c>
      <c r="P10" s="17" t="e">
        <f t="shared" si="8"/>
        <v>#N/A</v>
      </c>
      <c r="Q10" s="17">
        <f t="shared" si="9"/>
        <v>19470431.685627632</v>
      </c>
    </row>
    <row r="11" spans="1:17" x14ac:dyDescent="0.3">
      <c r="A11" s="13">
        <v>45138</v>
      </c>
      <c r="B11" s="20">
        <v>5</v>
      </c>
      <c r="C11" s="34">
        <f>Agg_Monthly!$B$6</f>
        <v>6958622.9089282202</v>
      </c>
      <c r="D11" s="34">
        <f>Agg_Monthly!$C$6</f>
        <v>4623110.54</v>
      </c>
      <c r="E11" s="17">
        <f t="shared" si="0"/>
        <v>2335512.3689282201</v>
      </c>
      <c r="F11" s="21">
        <f t="shared" si="1"/>
        <v>0.3356285287325535</v>
      </c>
      <c r="G11" s="34">
        <f>Agg_Monthly!$D$6</f>
        <v>401729.77</v>
      </c>
      <c r="H11" s="34">
        <f>Agg_Opex!$B$6</f>
        <v>824750.66666666674</v>
      </c>
      <c r="I11" s="34">
        <f>Agg_Opex!$C$6</f>
        <v>978587</v>
      </c>
      <c r="J11" s="17">
        <f t="shared" si="2"/>
        <v>2205067.4366666665</v>
      </c>
      <c r="K11" s="17">
        <f t="shared" si="3"/>
        <v>130444.93226155336</v>
      </c>
      <c r="L11" s="21">
        <f t="shared" si="4"/>
        <v>1.8745796972873291E-2</v>
      </c>
      <c r="M11" s="34">
        <f t="shared" si="5"/>
        <v>6958622.9089282202</v>
      </c>
      <c r="N11" s="34" t="e">
        <f t="shared" si="6"/>
        <v>#N/A</v>
      </c>
      <c r="O11" s="17">
        <f t="shared" si="7"/>
        <v>130444.93226155336</v>
      </c>
      <c r="P11" s="17" t="e">
        <f t="shared" si="8"/>
        <v>#N/A</v>
      </c>
      <c r="Q11" s="17">
        <f t="shared" si="9"/>
        <v>20316240.299806606</v>
      </c>
    </row>
    <row r="12" spans="1:17" x14ac:dyDescent="0.3">
      <c r="A12" s="13">
        <v>45169</v>
      </c>
      <c r="B12" s="20">
        <v>6</v>
      </c>
      <c r="C12" s="34">
        <f>Agg_Monthly!$B$7</f>
        <v>6349906.7648599707</v>
      </c>
      <c r="D12" s="34">
        <f>Agg_Monthly!$C$7</f>
        <v>4153524.26</v>
      </c>
      <c r="E12" s="17">
        <f t="shared" si="0"/>
        <v>2196382.5048599709</v>
      </c>
      <c r="F12" s="21">
        <f t="shared" si="1"/>
        <v>0.34589208726884446</v>
      </c>
      <c r="G12" s="34">
        <f>Agg_Monthly!$D$7</f>
        <v>371589.65</v>
      </c>
      <c r="H12" s="34">
        <f>Agg_Opex!$B$7</f>
        <v>837845.75</v>
      </c>
      <c r="I12" s="34">
        <f>Agg_Opex!$C$7</f>
        <v>974751</v>
      </c>
      <c r="J12" s="17">
        <f t="shared" si="2"/>
        <v>2184186.4</v>
      </c>
      <c r="K12" s="17">
        <f t="shared" si="3"/>
        <v>12196.104859970976</v>
      </c>
      <c r="L12" s="21">
        <f t="shared" si="4"/>
        <v>1.9206746353290633E-3</v>
      </c>
      <c r="M12" s="34">
        <f t="shared" si="5"/>
        <v>6349906.7648599707</v>
      </c>
      <c r="N12" s="34" t="e">
        <f t="shared" si="6"/>
        <v>#N/A</v>
      </c>
      <c r="O12" s="17">
        <f t="shared" si="7"/>
        <v>12196.104859970976</v>
      </c>
      <c r="P12" s="17" t="e">
        <f t="shared" si="8"/>
        <v>#N/A</v>
      </c>
      <c r="Q12" s="17">
        <f t="shared" si="9"/>
        <v>20201472.189068388</v>
      </c>
    </row>
    <row r="13" spans="1:17" x14ac:dyDescent="0.3">
      <c r="A13" s="13">
        <v>45199</v>
      </c>
      <c r="B13" s="20">
        <v>7</v>
      </c>
      <c r="C13" s="34">
        <f>Agg_Monthly!$B$8</f>
        <v>6791502.7406682288</v>
      </c>
      <c r="D13" s="34">
        <f>Agg_Monthly!$C$8</f>
        <v>4491153.4399999985</v>
      </c>
      <c r="E13" s="17">
        <f t="shared" si="0"/>
        <v>2300349.3006682303</v>
      </c>
      <c r="F13" s="21">
        <f t="shared" si="1"/>
        <v>0.33870991274044521</v>
      </c>
      <c r="G13" s="34">
        <f>Agg_Monthly!$D$8</f>
        <v>353431.32</v>
      </c>
      <c r="H13" s="34">
        <f>Agg_Opex!$B$8</f>
        <v>845206.75</v>
      </c>
      <c r="I13" s="34">
        <f>Agg_Opex!$C$8</f>
        <v>1099285</v>
      </c>
      <c r="J13" s="17">
        <f t="shared" si="2"/>
        <v>2297923.0700000003</v>
      </c>
      <c r="K13" s="17">
        <f t="shared" si="3"/>
        <v>2426.2306682302151</v>
      </c>
      <c r="L13" s="21">
        <f t="shared" si="4"/>
        <v>3.5724503999706752E-4</v>
      </c>
      <c r="M13" s="34">
        <f t="shared" si="5"/>
        <v>6791502.7406682288</v>
      </c>
      <c r="N13" s="34" t="e">
        <f t="shared" si="6"/>
        <v>#N/A</v>
      </c>
      <c r="O13" s="17">
        <f t="shared" si="7"/>
        <v>2426.2306682302151</v>
      </c>
      <c r="P13" s="17" t="e">
        <f t="shared" si="8"/>
        <v>#N/A</v>
      </c>
      <c r="Q13" s="17">
        <f t="shared" si="9"/>
        <v>20100032.41445642</v>
      </c>
    </row>
    <row r="14" spans="1:17" x14ac:dyDescent="0.3">
      <c r="A14" s="13">
        <v>45230</v>
      </c>
      <c r="B14" s="20">
        <v>8</v>
      </c>
      <c r="C14" s="34">
        <f>Agg_Monthly!$B$9</f>
        <v>6747149.0162298111</v>
      </c>
      <c r="D14" s="34">
        <f>Agg_Monthly!$C$9</f>
        <v>4380190.7199999997</v>
      </c>
      <c r="E14" s="17">
        <f t="shared" si="0"/>
        <v>2366958.2962298114</v>
      </c>
      <c r="F14" s="21">
        <f t="shared" si="1"/>
        <v>0.35080865866994387</v>
      </c>
      <c r="G14" s="34">
        <f>Agg_Monthly!$D$9</f>
        <v>356364.25</v>
      </c>
      <c r="H14" s="34">
        <f>Agg_Opex!$B$9</f>
        <v>830136.33333333326</v>
      </c>
      <c r="I14" s="34">
        <f>Agg_Opex!$C$9</f>
        <v>1013925</v>
      </c>
      <c r="J14" s="17">
        <f t="shared" si="2"/>
        <v>2200425.583333333</v>
      </c>
      <c r="K14" s="17">
        <f t="shared" si="3"/>
        <v>166532.71289647813</v>
      </c>
      <c r="L14" s="21">
        <f t="shared" si="4"/>
        <v>2.4681937881599315E-2</v>
      </c>
      <c r="M14" s="34">
        <f t="shared" si="5"/>
        <v>6747149.0162298111</v>
      </c>
      <c r="N14" s="34" t="e">
        <f t="shared" si="6"/>
        <v>#N/A</v>
      </c>
      <c r="O14" s="17">
        <f t="shared" si="7"/>
        <v>166532.71289647813</v>
      </c>
      <c r="P14" s="17" t="e">
        <f t="shared" si="8"/>
        <v>#N/A</v>
      </c>
      <c r="Q14" s="17">
        <f t="shared" si="9"/>
        <v>19888558.521758012</v>
      </c>
    </row>
    <row r="15" spans="1:17" x14ac:dyDescent="0.3">
      <c r="A15" s="13">
        <v>45260</v>
      </c>
      <c r="B15" s="20">
        <v>9</v>
      </c>
      <c r="C15" s="34">
        <f>Agg_Monthly!$B$10</f>
        <v>7870188.8704731539</v>
      </c>
      <c r="D15" s="34">
        <f>Agg_Monthly!$C$10</f>
        <v>5294709.87</v>
      </c>
      <c r="E15" s="17">
        <f t="shared" si="0"/>
        <v>2575479.0004731538</v>
      </c>
      <c r="F15" s="21">
        <f t="shared" si="1"/>
        <v>0.3272448784724421</v>
      </c>
      <c r="G15" s="34">
        <f>Agg_Monthly!$D$10</f>
        <v>412347.22</v>
      </c>
      <c r="H15" s="34">
        <f>Agg_Opex!$B$10</f>
        <v>867556.83333333337</v>
      </c>
      <c r="I15" s="34">
        <f>Agg_Opex!$C$10</f>
        <v>1158992</v>
      </c>
      <c r="J15" s="17">
        <f t="shared" si="2"/>
        <v>2438896.0533333332</v>
      </c>
      <c r="K15" s="17">
        <f t="shared" si="3"/>
        <v>136582.94713982055</v>
      </c>
      <c r="L15" s="21">
        <f t="shared" si="4"/>
        <v>1.735446879200616E-2</v>
      </c>
      <c r="M15" s="34">
        <f t="shared" si="5"/>
        <v>7870188.8704731539</v>
      </c>
      <c r="N15" s="34" t="e">
        <f t="shared" si="6"/>
        <v>#N/A</v>
      </c>
      <c r="O15" s="17">
        <f t="shared" si="7"/>
        <v>136582.94713982055</v>
      </c>
      <c r="P15" s="17" t="e">
        <f t="shared" si="8"/>
        <v>#N/A</v>
      </c>
      <c r="Q15" s="17">
        <f t="shared" si="9"/>
        <v>21408840.627371192</v>
      </c>
    </row>
    <row r="16" spans="1:17" x14ac:dyDescent="0.3">
      <c r="A16" s="13">
        <v>45291</v>
      </c>
      <c r="B16" s="20">
        <v>10</v>
      </c>
      <c r="C16" s="34">
        <f>Agg_Monthly!$B$11</f>
        <v>8601676.2069240939</v>
      </c>
      <c r="D16" s="34">
        <f>Agg_Monthly!$C$11</f>
        <v>5883293.5999999996</v>
      </c>
      <c r="E16" s="17">
        <f t="shared" si="0"/>
        <v>2718382.6069240943</v>
      </c>
      <c r="F16" s="21">
        <f t="shared" si="1"/>
        <v>0.31602940421494558</v>
      </c>
      <c r="G16" s="34">
        <f>Agg_Monthly!$D$11</f>
        <v>457007.23</v>
      </c>
      <c r="H16" s="34">
        <f>Agg_Opex!$B$11</f>
        <v>855319.33333333337</v>
      </c>
      <c r="I16" s="34">
        <f>Agg_Opex!$C$11</f>
        <v>1124583</v>
      </c>
      <c r="J16" s="17">
        <f t="shared" si="2"/>
        <v>2436909.5633333335</v>
      </c>
      <c r="K16" s="17">
        <f t="shared" si="3"/>
        <v>281473.04359076079</v>
      </c>
      <c r="L16" s="21">
        <f t="shared" si="4"/>
        <v>3.2723045697091384E-2</v>
      </c>
      <c r="M16" s="34">
        <f t="shared" si="5"/>
        <v>8601676.2069240939</v>
      </c>
      <c r="N16" s="34" t="e">
        <f t="shared" si="6"/>
        <v>#N/A</v>
      </c>
      <c r="O16" s="17">
        <f t="shared" si="7"/>
        <v>281473.04359076079</v>
      </c>
      <c r="P16" s="17" t="e">
        <f t="shared" si="8"/>
        <v>#N/A</v>
      </c>
      <c r="Q16" s="17">
        <f t="shared" si="9"/>
        <v>23219014.093627058</v>
      </c>
    </row>
    <row r="17" spans="1:17" x14ac:dyDescent="0.3">
      <c r="A17" s="13">
        <v>45322</v>
      </c>
      <c r="B17" s="20">
        <v>11</v>
      </c>
      <c r="C17" s="34">
        <f>Agg_Monthly!$B$12</f>
        <v>5938555.8566266512</v>
      </c>
      <c r="D17" s="34">
        <f>Agg_Monthly!$C$12</f>
        <v>3882425.36</v>
      </c>
      <c r="E17" s="17">
        <f t="shared" si="0"/>
        <v>2056130.4966266514</v>
      </c>
      <c r="F17" s="21">
        <f t="shared" si="1"/>
        <v>0.34623409230583879</v>
      </c>
      <c r="G17" s="34">
        <f>Agg_Monthly!$D$12</f>
        <v>265644.7</v>
      </c>
      <c r="H17" s="34">
        <f>Agg_Opex!$B$12</f>
        <v>870086.91666666674</v>
      </c>
      <c r="I17" s="34">
        <f>Agg_Opex!$C$12</f>
        <v>1003694</v>
      </c>
      <c r="J17" s="17">
        <f t="shared" si="2"/>
        <v>2139425.6166666667</v>
      </c>
      <c r="K17" s="17">
        <f t="shared" si="3"/>
        <v>-83295.120040015317</v>
      </c>
      <c r="L17" s="21">
        <f t="shared" si="4"/>
        <v>-1.4026157545873524E-2</v>
      </c>
      <c r="M17" s="34">
        <f t="shared" si="5"/>
        <v>5938555.8566266512</v>
      </c>
      <c r="N17" s="34" t="e">
        <f t="shared" si="6"/>
        <v>#N/A</v>
      </c>
      <c r="O17" s="17">
        <f t="shared" si="7"/>
        <v>-83295.120040015317</v>
      </c>
      <c r="P17" s="17" t="e">
        <f t="shared" si="8"/>
        <v>#N/A</v>
      </c>
      <c r="Q17" s="17">
        <f t="shared" si="9"/>
        <v>22410420.934023898</v>
      </c>
    </row>
    <row r="18" spans="1:17" x14ac:dyDescent="0.3">
      <c r="A18" s="13">
        <v>45351</v>
      </c>
      <c r="B18" s="20">
        <v>12</v>
      </c>
      <c r="C18" s="34">
        <f>Agg_Monthly!$B$13</f>
        <v>7017084.1067634989</v>
      </c>
      <c r="D18" s="34">
        <f>Agg_Monthly!$C$13</f>
        <v>4533151.67</v>
      </c>
      <c r="E18" s="17">
        <f t="shared" si="0"/>
        <v>2483932.4367634989</v>
      </c>
      <c r="F18" s="21">
        <f t="shared" si="1"/>
        <v>0.35398356339627329</v>
      </c>
      <c r="G18" s="34">
        <f>Agg_Monthly!$D$13</f>
        <v>371175.7</v>
      </c>
      <c r="H18" s="34">
        <f>Agg_Opex!$B$13</f>
        <v>887942.66666666674</v>
      </c>
      <c r="I18" s="34">
        <f>Agg_Opex!$C$13</f>
        <v>990879</v>
      </c>
      <c r="J18" s="17">
        <f t="shared" si="2"/>
        <v>2249997.3666666667</v>
      </c>
      <c r="K18" s="17">
        <f t="shared" si="3"/>
        <v>233935.070096832</v>
      </c>
      <c r="L18" s="21">
        <f t="shared" si="4"/>
        <v>3.3337931616260794E-2</v>
      </c>
      <c r="M18" s="34">
        <f t="shared" si="5"/>
        <v>7017084.1067634989</v>
      </c>
      <c r="N18" s="34" t="e">
        <f t="shared" si="6"/>
        <v>#N/A</v>
      </c>
      <c r="O18" s="17">
        <f t="shared" si="7"/>
        <v>233935.070096832</v>
      </c>
      <c r="P18" s="17" t="e">
        <f t="shared" si="8"/>
        <v>#N/A</v>
      </c>
      <c r="Q18" s="17">
        <f t="shared" si="9"/>
        <v>21557316.170314245</v>
      </c>
    </row>
    <row r="19" spans="1:17" x14ac:dyDescent="0.3">
      <c r="A19" s="13">
        <v>45382</v>
      </c>
      <c r="B19" s="20">
        <v>13</v>
      </c>
      <c r="C19" s="34">
        <f>Agg_Monthly!$B$14</f>
        <v>6758152.5623435564</v>
      </c>
      <c r="D19" s="34">
        <f>Agg_Monthly!$C$14</f>
        <v>4375280.1099999994</v>
      </c>
      <c r="E19" s="17">
        <f t="shared" si="0"/>
        <v>2382872.452343557</v>
      </c>
      <c r="F19" s="21">
        <f t="shared" si="1"/>
        <v>0.35259228470528003</v>
      </c>
      <c r="G19" s="34">
        <f>Agg_Monthly!$D$14</f>
        <v>341012.76</v>
      </c>
      <c r="H19" s="34">
        <f>Agg_Opex!$B$14</f>
        <v>855414.33333333337</v>
      </c>
      <c r="I19" s="34">
        <f>Agg_Opex!$C$14</f>
        <v>1006466</v>
      </c>
      <c r="J19" s="17">
        <f t="shared" si="2"/>
        <v>2202893.0933333333</v>
      </c>
      <c r="K19" s="17">
        <f t="shared" si="3"/>
        <v>179979.35901022376</v>
      </c>
      <c r="L19" s="21">
        <f t="shared" si="4"/>
        <v>2.6631443630478129E-2</v>
      </c>
      <c r="M19" s="34">
        <f t="shared" si="5"/>
        <v>6758152.5623435564</v>
      </c>
      <c r="N19" s="34" t="e">
        <f t="shared" si="6"/>
        <v>#N/A</v>
      </c>
      <c r="O19" s="17">
        <f t="shared" si="7"/>
        <v>179979.35901022376</v>
      </c>
      <c r="P19" s="17" t="e">
        <f t="shared" si="8"/>
        <v>#N/A</v>
      </c>
      <c r="Q19" s="17">
        <f t="shared" si="9"/>
        <v>19713792.525733706</v>
      </c>
    </row>
    <row r="20" spans="1:17" x14ac:dyDescent="0.3">
      <c r="A20" s="13">
        <v>45412</v>
      </c>
      <c r="B20" s="20">
        <v>14</v>
      </c>
      <c r="C20" s="34">
        <f>Agg_Monthly!$B$15</f>
        <v>7319175.5219615037</v>
      </c>
      <c r="D20" s="34">
        <f>Agg_Monthly!$C$15</f>
        <v>4844045.29</v>
      </c>
      <c r="E20" s="17">
        <f t="shared" si="0"/>
        <v>2475130.2319615036</v>
      </c>
      <c r="F20" s="21">
        <f t="shared" si="1"/>
        <v>0.33817063472993208</v>
      </c>
      <c r="G20" s="34">
        <f>Agg_Monthly!$D$15</f>
        <v>390632.54</v>
      </c>
      <c r="H20" s="34">
        <f>Agg_Opex!$B$15</f>
        <v>914548</v>
      </c>
      <c r="I20" s="34">
        <f>Agg_Opex!$C$15</f>
        <v>996515</v>
      </c>
      <c r="J20" s="17">
        <f t="shared" si="2"/>
        <v>2301695.54</v>
      </c>
      <c r="K20" s="17">
        <f t="shared" si="3"/>
        <v>173434.69196150359</v>
      </c>
      <c r="L20" s="21">
        <f t="shared" si="4"/>
        <v>2.3695932887673656E-2</v>
      </c>
      <c r="M20" s="34">
        <f t="shared" si="5"/>
        <v>7319175.5219615037</v>
      </c>
      <c r="N20" s="34" t="e">
        <f t="shared" si="6"/>
        <v>#N/A</v>
      </c>
      <c r="O20" s="17">
        <f t="shared" si="7"/>
        <v>173434.69196150359</v>
      </c>
      <c r="P20" s="17" t="e">
        <f t="shared" si="8"/>
        <v>#N/A</v>
      </c>
      <c r="Q20" s="17">
        <f t="shared" si="9"/>
        <v>21094412.19106856</v>
      </c>
    </row>
    <row r="21" spans="1:17" x14ac:dyDescent="0.3">
      <c r="A21" s="13">
        <v>45443</v>
      </c>
      <c r="B21" s="20">
        <v>15</v>
      </c>
      <c r="C21" s="34">
        <f>Agg_Monthly!$B$16</f>
        <v>8092187.9828374386</v>
      </c>
      <c r="D21" s="34">
        <f>Agg_Monthly!$C$16</f>
        <v>5251624.96</v>
      </c>
      <c r="E21" s="17">
        <f t="shared" si="0"/>
        <v>2840563.0228374386</v>
      </c>
      <c r="F21" s="21">
        <f t="shared" si="1"/>
        <v>0.35102533812387116</v>
      </c>
      <c r="G21" s="34">
        <f>Agg_Monthly!$D$16</f>
        <v>360129.19</v>
      </c>
      <c r="H21" s="34">
        <f>Agg_Opex!$B$16</f>
        <v>902724.58333333337</v>
      </c>
      <c r="I21" s="34">
        <f>Agg_Opex!$C$16</f>
        <v>940527</v>
      </c>
      <c r="J21" s="17">
        <f t="shared" si="2"/>
        <v>2203380.7733333334</v>
      </c>
      <c r="K21" s="17">
        <f t="shared" si="3"/>
        <v>637182.24950410519</v>
      </c>
      <c r="L21" s="21">
        <f t="shared" si="4"/>
        <v>7.8740416171187863E-2</v>
      </c>
      <c r="M21" s="34">
        <f t="shared" si="5"/>
        <v>8092187.9828374386</v>
      </c>
      <c r="N21" s="34" t="e">
        <f t="shared" si="6"/>
        <v>#N/A</v>
      </c>
      <c r="O21" s="17">
        <f t="shared" si="7"/>
        <v>637182.24950410519</v>
      </c>
      <c r="P21" s="17" t="e">
        <f t="shared" si="8"/>
        <v>#N/A</v>
      </c>
      <c r="Q21" s="17">
        <f t="shared" si="9"/>
        <v>22169516.067142498</v>
      </c>
    </row>
    <row r="22" spans="1:17" x14ac:dyDescent="0.3">
      <c r="A22" s="13">
        <v>45473</v>
      </c>
      <c r="B22" s="20">
        <v>16</v>
      </c>
      <c r="C22" s="34">
        <f>Agg_Monthly!$B$17</f>
        <v>6996480.341332932</v>
      </c>
      <c r="D22" s="34">
        <f>Agg_Monthly!$C$17</f>
        <v>4531021.71</v>
      </c>
      <c r="E22" s="17">
        <f t="shared" si="0"/>
        <v>2465458.631332932</v>
      </c>
      <c r="F22" s="21">
        <f t="shared" si="1"/>
        <v>0.35238555831677304</v>
      </c>
      <c r="G22" s="34">
        <f>Agg_Monthly!$D$17</f>
        <v>360719.94</v>
      </c>
      <c r="H22" s="34">
        <f>Agg_Opex!$B$17</f>
        <v>908719.16666666674</v>
      </c>
      <c r="I22" s="34">
        <f>Agg_Opex!$C$17</f>
        <v>1065511</v>
      </c>
      <c r="J22" s="17">
        <f t="shared" si="2"/>
        <v>2334950.1066666665</v>
      </c>
      <c r="K22" s="17">
        <f t="shared" si="3"/>
        <v>130508.52466626535</v>
      </c>
      <c r="L22" s="21">
        <f t="shared" si="4"/>
        <v>1.8653454065362465E-2</v>
      </c>
      <c r="M22" s="34">
        <f t="shared" si="5"/>
        <v>6996480.341332932</v>
      </c>
      <c r="N22" s="34" t="e">
        <f t="shared" si="6"/>
        <v>#N/A</v>
      </c>
      <c r="O22" s="17">
        <f t="shared" si="7"/>
        <v>130508.52466626535</v>
      </c>
      <c r="P22" s="17" t="e">
        <f t="shared" si="8"/>
        <v>#N/A</v>
      </c>
      <c r="Q22" s="17">
        <f t="shared" si="9"/>
        <v>22407843.846131872</v>
      </c>
    </row>
    <row r="23" spans="1:17" x14ac:dyDescent="0.3">
      <c r="A23" s="13">
        <v>45504</v>
      </c>
      <c r="B23" s="20">
        <v>17</v>
      </c>
      <c r="C23" s="34">
        <f>Agg_Monthly!$B$18</f>
        <v>8179206.5402881037</v>
      </c>
      <c r="D23" s="34">
        <f>Agg_Monthly!$C$18</f>
        <v>5234847.17</v>
      </c>
      <c r="E23" s="17">
        <f t="shared" si="0"/>
        <v>2944359.3702881038</v>
      </c>
      <c r="F23" s="21">
        <f t="shared" si="1"/>
        <v>0.35998105143636489</v>
      </c>
      <c r="G23" s="34">
        <f>Agg_Monthly!$D$18</f>
        <v>402358.3</v>
      </c>
      <c r="H23" s="34">
        <f>Agg_Opex!$B$18</f>
        <v>919576.66666666663</v>
      </c>
      <c r="I23" s="34">
        <f>Agg_Opex!$C$18</f>
        <v>1043555</v>
      </c>
      <c r="J23" s="17">
        <f t="shared" si="2"/>
        <v>2365489.9666666668</v>
      </c>
      <c r="K23" s="17">
        <f t="shared" si="3"/>
        <v>578869.40362143749</v>
      </c>
      <c r="L23" s="21">
        <f t="shared" si="4"/>
        <v>7.0773295767763728E-2</v>
      </c>
      <c r="M23" s="34">
        <f t="shared" si="5"/>
        <v>8179206.5402881037</v>
      </c>
      <c r="N23" s="34" t="e">
        <f t="shared" si="6"/>
        <v>#N/A</v>
      </c>
      <c r="O23" s="17">
        <f t="shared" si="7"/>
        <v>578869.40362143749</v>
      </c>
      <c r="P23" s="17" t="e">
        <f t="shared" si="8"/>
        <v>#N/A</v>
      </c>
      <c r="Q23" s="17">
        <f t="shared" si="9"/>
        <v>23267874.864458472</v>
      </c>
    </row>
    <row r="24" spans="1:17" x14ac:dyDescent="0.3">
      <c r="A24" s="13">
        <v>45535</v>
      </c>
      <c r="B24" s="20">
        <v>18</v>
      </c>
      <c r="C24" s="34">
        <f>Agg_Monthly!$B$19</f>
        <v>7645710.9722999847</v>
      </c>
      <c r="D24" s="34">
        <f>Agg_Monthly!$C$19</f>
        <v>4902229.43</v>
      </c>
      <c r="E24" s="17">
        <f t="shared" si="0"/>
        <v>2743481.542299985</v>
      </c>
      <c r="F24" s="21">
        <f t="shared" si="1"/>
        <v>0.35882621671672871</v>
      </c>
      <c r="G24" s="34">
        <f>Agg_Monthly!$D$19</f>
        <v>385680.57</v>
      </c>
      <c r="H24" s="34">
        <f>Agg_Opex!$B$19</f>
        <v>951645.75</v>
      </c>
      <c r="I24" s="34">
        <f>Agg_Opex!$C$19</f>
        <v>1012041</v>
      </c>
      <c r="J24" s="17">
        <f t="shared" si="2"/>
        <v>2349367.3200000003</v>
      </c>
      <c r="K24" s="17">
        <f t="shared" si="3"/>
        <v>394114.22229998512</v>
      </c>
      <c r="L24" s="21">
        <f t="shared" si="4"/>
        <v>5.1547099246602515E-2</v>
      </c>
      <c r="M24" s="34">
        <f t="shared" si="5"/>
        <v>7645710.9722999847</v>
      </c>
      <c r="N24" s="34" t="e">
        <f t="shared" si="6"/>
        <v>#N/A</v>
      </c>
      <c r="O24" s="17">
        <f t="shared" si="7"/>
        <v>394114.22229998512</v>
      </c>
      <c r="P24" s="17" t="e">
        <f t="shared" si="8"/>
        <v>#N/A</v>
      </c>
      <c r="Q24" s="17">
        <f t="shared" si="9"/>
        <v>22821397.853921022</v>
      </c>
    </row>
    <row r="25" spans="1:17" x14ac:dyDescent="0.3">
      <c r="A25" s="13">
        <v>45565</v>
      </c>
      <c r="B25" s="20">
        <v>19</v>
      </c>
      <c r="C25" s="34">
        <f>Agg_Monthly!$B$20</f>
        <v>7961548.7263307348</v>
      </c>
      <c r="D25" s="34">
        <f>Agg_Monthly!$C$20</f>
        <v>5115970.99</v>
      </c>
      <c r="E25" s="17">
        <f t="shared" si="0"/>
        <v>2845577.7363307346</v>
      </c>
      <c r="F25" s="21">
        <f t="shared" si="1"/>
        <v>0.35741510027059586</v>
      </c>
      <c r="G25" s="34">
        <f>Agg_Monthly!$D$20</f>
        <v>406189.59</v>
      </c>
      <c r="H25" s="34">
        <f>Agg_Opex!$B$20</f>
        <v>954588</v>
      </c>
      <c r="I25" s="34">
        <f>Agg_Opex!$C$20</f>
        <v>1079230</v>
      </c>
      <c r="J25" s="17">
        <f t="shared" si="2"/>
        <v>2440007.59</v>
      </c>
      <c r="K25" s="17">
        <f t="shared" si="3"/>
        <v>405570.14633073471</v>
      </c>
      <c r="L25" s="21">
        <f t="shared" si="4"/>
        <v>5.0941112121743071E-2</v>
      </c>
      <c r="M25" s="34">
        <f t="shared" si="5"/>
        <v>7961548.7263307348</v>
      </c>
      <c r="N25" s="34" t="e">
        <f t="shared" si="6"/>
        <v>#N/A</v>
      </c>
      <c r="O25" s="17">
        <f t="shared" si="7"/>
        <v>405570.14633073471</v>
      </c>
      <c r="P25" s="17" t="e">
        <f t="shared" si="8"/>
        <v>#N/A</v>
      </c>
      <c r="Q25" s="17">
        <f t="shared" si="9"/>
        <v>23786466.238918822</v>
      </c>
    </row>
    <row r="26" spans="1:17" x14ac:dyDescent="0.3">
      <c r="A26" s="13">
        <v>45596</v>
      </c>
      <c r="B26" s="20">
        <v>20</v>
      </c>
      <c r="C26" s="34">
        <f>Agg_Monthly!$B$21</f>
        <v>9093569.9436307065</v>
      </c>
      <c r="D26" s="34">
        <f>Agg_Monthly!$C$21</f>
        <v>5920936.5999999996</v>
      </c>
      <c r="E26" s="17">
        <f t="shared" si="0"/>
        <v>3172633.3436307069</v>
      </c>
      <c r="F26" s="21">
        <f t="shared" si="1"/>
        <v>0.34888755057664389</v>
      </c>
      <c r="G26" s="34">
        <f>Agg_Monthly!$D$21</f>
        <v>474895.35</v>
      </c>
      <c r="H26" s="34">
        <f>Agg_Opex!$B$21</f>
        <v>910068.91666666674</v>
      </c>
      <c r="I26" s="34">
        <f>Agg_Opex!$C$21</f>
        <v>1126311</v>
      </c>
      <c r="J26" s="17">
        <f t="shared" si="2"/>
        <v>2511275.2666666666</v>
      </c>
      <c r="K26" s="17">
        <f t="shared" si="3"/>
        <v>661358.07696404005</v>
      </c>
      <c r="L26" s="21">
        <f t="shared" si="4"/>
        <v>7.2728101401723602E-2</v>
      </c>
      <c r="M26" s="34">
        <f t="shared" si="5"/>
        <v>9093569.9436307065</v>
      </c>
      <c r="N26" s="34" t="e">
        <f t="shared" si="6"/>
        <v>#N/A</v>
      </c>
      <c r="O26" s="17">
        <f t="shared" si="7"/>
        <v>661358.07696404005</v>
      </c>
      <c r="P26" s="17" t="e">
        <f t="shared" si="8"/>
        <v>#N/A</v>
      </c>
      <c r="Q26" s="17">
        <f t="shared" si="9"/>
        <v>24700829.642261427</v>
      </c>
    </row>
    <row r="27" spans="1:17" x14ac:dyDescent="0.3">
      <c r="A27" s="13">
        <v>45626</v>
      </c>
      <c r="B27" s="20">
        <v>21</v>
      </c>
      <c r="C27" s="34">
        <f>Agg_Monthly!$B$22</f>
        <v>8334125.6000987366</v>
      </c>
      <c r="D27" s="34">
        <f>Agg_Monthly!$C$22</f>
        <v>5644645.2300000004</v>
      </c>
      <c r="E27" s="17">
        <f t="shared" si="0"/>
        <v>2689480.3700987361</v>
      </c>
      <c r="F27" s="21">
        <f t="shared" si="1"/>
        <v>0.32270696401154225</v>
      </c>
      <c r="G27" s="34">
        <f>Agg_Monthly!$D$22</f>
        <v>377657.36</v>
      </c>
      <c r="H27" s="34">
        <f>Agg_Opex!$B$22</f>
        <v>936287</v>
      </c>
      <c r="I27" s="34">
        <f>Agg_Opex!$C$22</f>
        <v>1207900</v>
      </c>
      <c r="J27" s="17">
        <f t="shared" si="2"/>
        <v>2521844.36</v>
      </c>
      <c r="K27" s="17">
        <f t="shared" si="3"/>
        <v>167636.01009873627</v>
      </c>
      <c r="L27" s="21">
        <f t="shared" si="4"/>
        <v>2.0114408894527609E-2</v>
      </c>
      <c r="M27" s="34">
        <f t="shared" si="5"/>
        <v>8334125.6000987366</v>
      </c>
      <c r="N27" s="34" t="e">
        <f t="shared" si="6"/>
        <v>#N/A</v>
      </c>
      <c r="O27" s="17">
        <f t="shared" si="7"/>
        <v>167636.01009873627</v>
      </c>
      <c r="P27" s="17" t="e">
        <f t="shared" si="8"/>
        <v>#N/A</v>
      </c>
      <c r="Q27" s="17">
        <f t="shared" si="9"/>
        <v>25389244.270060178</v>
      </c>
    </row>
    <row r="28" spans="1:17" x14ac:dyDescent="0.3">
      <c r="A28" s="13">
        <v>45657</v>
      </c>
      <c r="B28" s="20">
        <v>22</v>
      </c>
      <c r="C28" s="34">
        <f>Agg_Monthly!$B$23</f>
        <v>9565478.6902354583</v>
      </c>
      <c r="D28" s="34">
        <f>Agg_Monthly!$C$23</f>
        <v>6413665.1299999999</v>
      </c>
      <c r="E28" s="17">
        <f t="shared" si="0"/>
        <v>3151813.5602354584</v>
      </c>
      <c r="F28" s="21">
        <f t="shared" si="1"/>
        <v>0.32949878017635048</v>
      </c>
      <c r="G28" s="34">
        <f>Agg_Monthly!$D$23</f>
        <v>455713.01</v>
      </c>
      <c r="H28" s="34">
        <f>Agg_Opex!$B$23</f>
        <v>960952.5</v>
      </c>
      <c r="I28" s="34">
        <f>Agg_Opex!$C$23</f>
        <v>1200486</v>
      </c>
      <c r="J28" s="17">
        <f t="shared" si="2"/>
        <v>2617151.5099999998</v>
      </c>
      <c r="K28" s="17">
        <f t="shared" si="3"/>
        <v>534662.05023545865</v>
      </c>
      <c r="L28" s="21">
        <f t="shared" si="4"/>
        <v>5.5894960153039422E-2</v>
      </c>
      <c r="M28" s="34">
        <f t="shared" si="5"/>
        <v>9565478.6902354583</v>
      </c>
      <c r="N28" s="34" t="e">
        <f t="shared" si="6"/>
        <v>#N/A</v>
      </c>
      <c r="O28" s="17">
        <f t="shared" si="7"/>
        <v>534662.05023545865</v>
      </c>
      <c r="P28" s="17" t="e">
        <f t="shared" si="8"/>
        <v>#N/A</v>
      </c>
      <c r="Q28" s="17">
        <f t="shared" si="9"/>
        <v>26993174.233964901</v>
      </c>
    </row>
    <row r="29" spans="1:17" x14ac:dyDescent="0.3">
      <c r="A29" s="13">
        <v>45688</v>
      </c>
      <c r="B29" s="20">
        <v>23</v>
      </c>
      <c r="C29" s="34">
        <f>Agg_Monthly!$B$24</f>
        <v>5971233.712869497</v>
      </c>
      <c r="D29" s="34">
        <f>Agg_Monthly!$C$24</f>
        <v>3909061.54</v>
      </c>
      <c r="E29" s="17">
        <f t="shared" si="0"/>
        <v>2062172.172869497</v>
      </c>
      <c r="F29" s="21">
        <f t="shared" si="1"/>
        <v>0.34535110699569538</v>
      </c>
      <c r="G29" s="34">
        <f>Agg_Monthly!$D$24</f>
        <v>274150.31</v>
      </c>
      <c r="H29" s="34">
        <f>Agg_Opex!$B$24</f>
        <v>945090.91666666663</v>
      </c>
      <c r="I29" s="34">
        <f>Agg_Opex!$C$24</f>
        <v>1127471</v>
      </c>
      <c r="J29" s="17">
        <f t="shared" si="2"/>
        <v>2346712.2266666666</v>
      </c>
      <c r="K29" s="17">
        <f t="shared" si="3"/>
        <v>-284540.0537971697</v>
      </c>
      <c r="L29" s="21">
        <f t="shared" si="4"/>
        <v>-4.7651803208424916E-2</v>
      </c>
      <c r="M29" s="34">
        <f t="shared" si="5"/>
        <v>5971233.712869497</v>
      </c>
      <c r="N29" s="34" t="e">
        <f t="shared" si="6"/>
        <v>#N/A</v>
      </c>
      <c r="O29" s="17">
        <f t="shared" si="7"/>
        <v>-284540.0537971697</v>
      </c>
      <c r="P29" s="17" t="e">
        <f t="shared" si="8"/>
        <v>#N/A</v>
      </c>
      <c r="Q29" s="17">
        <f t="shared" si="9"/>
        <v>23870838.00320369</v>
      </c>
    </row>
    <row r="30" spans="1:17" x14ac:dyDescent="0.3">
      <c r="A30" s="13">
        <v>45716</v>
      </c>
      <c r="B30" s="20">
        <v>24</v>
      </c>
      <c r="C30" s="34">
        <f>Agg_Monthly!$B$25</f>
        <v>7123617.4897099817</v>
      </c>
      <c r="D30" s="34">
        <f>Agg_Monthly!$C$25</f>
        <v>4575249.7300000004</v>
      </c>
      <c r="E30" s="17">
        <f t="shared" si="0"/>
        <v>2548367.7597099813</v>
      </c>
      <c r="F30" s="21">
        <f t="shared" si="1"/>
        <v>0.357735064156811</v>
      </c>
      <c r="G30" s="34">
        <f>Agg_Monthly!$D$25</f>
        <v>393038.81</v>
      </c>
      <c r="H30" s="34">
        <f>Agg_Opex!$B$25</f>
        <v>953142.25</v>
      </c>
      <c r="I30" s="34">
        <f>Agg_Opex!$C$25</f>
        <v>1098700</v>
      </c>
      <c r="J30" s="17">
        <f t="shared" si="2"/>
        <v>2444881.06</v>
      </c>
      <c r="K30" s="17">
        <f t="shared" si="3"/>
        <v>103486.69970998121</v>
      </c>
      <c r="L30" s="21">
        <f t="shared" si="4"/>
        <v>1.4527267902784935E-2</v>
      </c>
      <c r="M30" s="34">
        <f t="shared" si="5"/>
        <v>7123617.4897099817</v>
      </c>
      <c r="N30" s="34" t="e">
        <f t="shared" si="6"/>
        <v>#N/A</v>
      </c>
      <c r="O30" s="17">
        <f t="shared" si="7"/>
        <v>103486.69970998121</v>
      </c>
      <c r="P30" s="17" t="e">
        <f t="shared" si="8"/>
        <v>#N/A</v>
      </c>
      <c r="Q30" s="17">
        <f t="shared" si="9"/>
        <v>22660329.892814938</v>
      </c>
    </row>
    <row r="31" spans="1:17" x14ac:dyDescent="0.3">
      <c r="A31" s="13">
        <v>45747</v>
      </c>
      <c r="B31" s="20">
        <v>25</v>
      </c>
      <c r="C31" s="34">
        <f>Agg_Monthly!$B$26</f>
        <v>8562748.5435565561</v>
      </c>
      <c r="D31" s="34">
        <f>Agg_Monthly!$C$26</f>
        <v>5511461.4800000004</v>
      </c>
      <c r="E31" s="17">
        <f t="shared" si="0"/>
        <v>3051287.0635565557</v>
      </c>
      <c r="F31" s="21">
        <f t="shared" si="1"/>
        <v>0.35634434995205372</v>
      </c>
      <c r="G31" s="34">
        <f>Agg_Monthly!$D$26</f>
        <v>407763.73</v>
      </c>
      <c r="H31" s="34">
        <f>Agg_Opex!$B$26</f>
        <v>974990.83333333337</v>
      </c>
      <c r="I31" s="34">
        <f>Agg_Opex!$C$26</f>
        <v>1121837</v>
      </c>
      <c r="J31" s="17">
        <f t="shared" si="2"/>
        <v>2504591.5633333335</v>
      </c>
      <c r="K31" s="17">
        <f t="shared" si="3"/>
        <v>546695.50022322219</v>
      </c>
      <c r="L31" s="21">
        <f t="shared" si="4"/>
        <v>6.3845796410150216E-2</v>
      </c>
      <c r="M31" s="34">
        <f t="shared" si="5"/>
        <v>8562748.5435565561</v>
      </c>
      <c r="N31" s="34" t="e">
        <f t="shared" si="6"/>
        <v>#N/A</v>
      </c>
      <c r="O31" s="17">
        <f t="shared" si="7"/>
        <v>546695.50022322219</v>
      </c>
      <c r="P31" s="17" t="e">
        <f t="shared" si="8"/>
        <v>#N/A</v>
      </c>
      <c r="Q31" s="17">
        <f t="shared" si="9"/>
        <v>21657599.746136036</v>
      </c>
    </row>
    <row r="32" spans="1:17" x14ac:dyDescent="0.3">
      <c r="A32" s="13">
        <v>45777</v>
      </c>
      <c r="B32" s="20">
        <v>26</v>
      </c>
      <c r="C32" s="34">
        <f>Agg_Monthly!$B$27</f>
        <v>8025738.8235086119</v>
      </c>
      <c r="D32" s="34">
        <f>Agg_Monthly!$C$27</f>
        <v>5148809.09</v>
      </c>
      <c r="E32" s="17">
        <f t="shared" si="0"/>
        <v>2876929.733508612</v>
      </c>
      <c r="F32" s="21">
        <f t="shared" si="1"/>
        <v>0.3584629149757087</v>
      </c>
      <c r="G32" s="34">
        <f>Agg_Monthly!$D$27</f>
        <v>388064.05</v>
      </c>
      <c r="H32" s="34">
        <f>Agg_Opex!$B$27</f>
        <v>981858.41666666663</v>
      </c>
      <c r="I32" s="34">
        <f>Agg_Opex!$C$27</f>
        <v>1007278</v>
      </c>
      <c r="J32" s="17">
        <f t="shared" si="2"/>
        <v>2377200.4666666668</v>
      </c>
      <c r="K32" s="17">
        <f t="shared" si="3"/>
        <v>499729.2668419457</v>
      </c>
      <c r="L32" s="21">
        <f t="shared" si="4"/>
        <v>6.2265827213086294E-2</v>
      </c>
      <c r="M32" s="34">
        <f t="shared" si="5"/>
        <v>8025738.8235086119</v>
      </c>
      <c r="N32" s="34" t="e">
        <f t="shared" si="6"/>
        <v>#N/A</v>
      </c>
      <c r="O32" s="17">
        <f t="shared" si="7"/>
        <v>499729.2668419457</v>
      </c>
      <c r="P32" s="17" t="e">
        <f t="shared" si="8"/>
        <v>#N/A</v>
      </c>
      <c r="Q32" s="17">
        <f t="shared" si="9"/>
        <v>23712104.85677515</v>
      </c>
    </row>
    <row r="33" spans="1:17" x14ac:dyDescent="0.3">
      <c r="A33" s="13">
        <v>45808</v>
      </c>
      <c r="B33" s="20">
        <v>27</v>
      </c>
      <c r="C33" s="34">
        <f>Agg_Monthly!$B$28</f>
        <v>8104083.2856993051</v>
      </c>
      <c r="D33" s="34">
        <f>Agg_Monthly!$C$28</f>
        <v>5218243.03</v>
      </c>
      <c r="E33" s="17">
        <f t="shared" si="0"/>
        <v>2885840.2556993049</v>
      </c>
      <c r="F33" s="21">
        <f t="shared" si="1"/>
        <v>0.35609706292033549</v>
      </c>
      <c r="G33" s="34">
        <f>Agg_Monthly!$D$28</f>
        <v>420029.69</v>
      </c>
      <c r="H33" s="34">
        <f>Agg_Opex!$B$28</f>
        <v>994265</v>
      </c>
      <c r="I33" s="34">
        <f>Agg_Opex!$C$28</f>
        <v>1086761</v>
      </c>
      <c r="J33" s="17">
        <f t="shared" si="2"/>
        <v>2501055.69</v>
      </c>
      <c r="K33" s="17">
        <f t="shared" si="3"/>
        <v>384784.56569930492</v>
      </c>
      <c r="L33" s="21">
        <f t="shared" si="4"/>
        <v>4.7480332091145543E-2</v>
      </c>
      <c r="M33" s="34">
        <f t="shared" si="5"/>
        <v>8104083.2856993051</v>
      </c>
      <c r="N33" s="34" t="e">
        <f t="shared" si="6"/>
        <v>#N/A</v>
      </c>
      <c r="O33" s="17">
        <f t="shared" si="7"/>
        <v>384784.56569930492</v>
      </c>
      <c r="P33" s="17" t="e">
        <f t="shared" si="8"/>
        <v>#N/A</v>
      </c>
      <c r="Q33" s="17">
        <f t="shared" si="9"/>
        <v>24692570.652764473</v>
      </c>
    </row>
    <row r="34" spans="1:17" x14ac:dyDescent="0.3">
      <c r="A34" s="13">
        <v>45838</v>
      </c>
      <c r="B34" s="20">
        <v>28</v>
      </c>
      <c r="C34" s="34">
        <f>Agg_Monthly!$B$29</f>
        <v>8892356.5967695024</v>
      </c>
      <c r="D34" s="34">
        <f>Agg_Monthly!$C$29</f>
        <v>5699031.4100000001</v>
      </c>
      <c r="E34" s="17">
        <f t="shared" si="0"/>
        <v>3193325.1867695022</v>
      </c>
      <c r="F34" s="21">
        <f t="shared" si="1"/>
        <v>0.35910898894108711</v>
      </c>
      <c r="G34" s="34">
        <f>Agg_Monthly!$D$29</f>
        <v>430236.66</v>
      </c>
      <c r="H34" s="34">
        <f>Agg_Opex!$B$29</f>
        <v>967356.5</v>
      </c>
      <c r="I34" s="34">
        <f>Agg_Opex!$C$29</f>
        <v>1021135</v>
      </c>
      <c r="J34" s="17">
        <f t="shared" si="2"/>
        <v>2418728.16</v>
      </c>
      <c r="K34" s="17">
        <f t="shared" si="3"/>
        <v>774597.02676950209</v>
      </c>
      <c r="L34" s="21">
        <f t="shared" si="4"/>
        <v>8.7108183116599805E-2</v>
      </c>
      <c r="M34" s="34">
        <f t="shared" si="5"/>
        <v>8892356.5967695024</v>
      </c>
      <c r="N34" s="34" t="e">
        <f t="shared" si="6"/>
        <v>#N/A</v>
      </c>
      <c r="O34" s="17">
        <f t="shared" si="7"/>
        <v>774597.02676950209</v>
      </c>
      <c r="P34" s="17" t="e">
        <f t="shared" si="8"/>
        <v>#N/A</v>
      </c>
      <c r="Q34" s="17">
        <f t="shared" si="9"/>
        <v>25022178.705977418</v>
      </c>
    </row>
    <row r="35" spans="1:17" x14ac:dyDescent="0.3">
      <c r="A35" s="13">
        <v>45869</v>
      </c>
      <c r="B35" s="20">
        <v>29</v>
      </c>
      <c r="C35" s="34">
        <f>Agg_Monthly!$B$30</f>
        <v>9582414.6671222784</v>
      </c>
      <c r="D35" s="34">
        <f>Agg_Monthly!$C$30</f>
        <v>6221488.8200000003</v>
      </c>
      <c r="E35" s="17">
        <f t="shared" si="0"/>
        <v>3360925.8471222781</v>
      </c>
      <c r="F35" s="21">
        <f t="shared" si="1"/>
        <v>0.35073892790861733</v>
      </c>
      <c r="G35" s="34">
        <f>Agg_Monthly!$D$30</f>
        <v>428566.03</v>
      </c>
      <c r="H35" s="34">
        <f>Agg_Opex!$B$30</f>
        <v>1022722.583333333</v>
      </c>
      <c r="I35" s="34">
        <f>Agg_Opex!$C$30</f>
        <v>1012458</v>
      </c>
      <c r="J35" s="17">
        <f t="shared" si="2"/>
        <v>2463746.6133333333</v>
      </c>
      <c r="K35" s="17">
        <f t="shared" si="3"/>
        <v>897179.23378894478</v>
      </c>
      <c r="L35" s="21">
        <f t="shared" si="4"/>
        <v>9.3627677882403643E-2</v>
      </c>
      <c r="M35" s="34">
        <f t="shared" si="5"/>
        <v>9582414.6671222784</v>
      </c>
      <c r="N35" s="34" t="e">
        <f t="shared" si="6"/>
        <v>#N/A</v>
      </c>
      <c r="O35" s="17">
        <f t="shared" si="7"/>
        <v>897179.23378894478</v>
      </c>
      <c r="P35" s="17" t="e">
        <f t="shared" si="8"/>
        <v>#N/A</v>
      </c>
      <c r="Q35" s="17">
        <f t="shared" si="9"/>
        <v>26578854.549591087</v>
      </c>
    </row>
    <row r="36" spans="1:17" x14ac:dyDescent="0.3">
      <c r="A36" s="13">
        <v>45900</v>
      </c>
      <c r="B36" s="20">
        <v>30</v>
      </c>
      <c r="C36" s="34">
        <f>Agg_Monthly!$B$31</f>
        <v>9212797.478943944</v>
      </c>
      <c r="D36" s="34">
        <f>Agg_Monthly!$C$31</f>
        <v>5920960.5800000001</v>
      </c>
      <c r="E36" s="17">
        <f t="shared" si="0"/>
        <v>3291836.8989439439</v>
      </c>
      <c r="F36" s="21">
        <f t="shared" si="1"/>
        <v>0.35731132769036889</v>
      </c>
      <c r="G36" s="34">
        <f>Agg_Monthly!$D$31</f>
        <v>420929.87</v>
      </c>
      <c r="H36" s="34">
        <f>Agg_Opex!$B$31</f>
        <v>990189.25</v>
      </c>
      <c r="I36" s="34">
        <f>Agg_Opex!$C$31</f>
        <v>1092399</v>
      </c>
      <c r="J36" s="17">
        <f t="shared" si="2"/>
        <v>2503518.12</v>
      </c>
      <c r="K36" s="17">
        <f t="shared" si="3"/>
        <v>788318.77894394379</v>
      </c>
      <c r="L36" s="21">
        <f t="shared" si="4"/>
        <v>8.5567796399048615E-2</v>
      </c>
      <c r="M36" s="34">
        <f t="shared" si="5"/>
        <v>9212797.478943944</v>
      </c>
      <c r="N36" s="34" t="e">
        <f t="shared" si="6"/>
        <v>#N/A</v>
      </c>
      <c r="O36" s="17">
        <f t="shared" si="7"/>
        <v>788318.77894394379</v>
      </c>
      <c r="P36" s="17" t="e">
        <f t="shared" si="8"/>
        <v>#N/A</v>
      </c>
      <c r="Q36" s="17">
        <f t="shared" si="9"/>
        <v>27687568.742835723</v>
      </c>
    </row>
    <row r="37" spans="1:17" x14ac:dyDescent="0.3">
      <c r="A37" s="13">
        <v>45930</v>
      </c>
      <c r="B37" s="20">
        <v>31</v>
      </c>
      <c r="C37" s="34">
        <f>Agg_Monthly!$B$32</f>
        <v>10052103.506071519</v>
      </c>
      <c r="D37" s="34">
        <f>Agg_Monthly!$C$32</f>
        <v>6447760.46</v>
      </c>
      <c r="E37" s="17">
        <f t="shared" si="0"/>
        <v>3604343.0460715191</v>
      </c>
      <c r="F37" s="21">
        <f t="shared" si="1"/>
        <v>0.35856604977201822</v>
      </c>
      <c r="G37" s="34">
        <f>Agg_Monthly!$D$32</f>
        <v>515902.88</v>
      </c>
      <c r="H37" s="34">
        <f>Agg_Opex!$B$32</f>
        <v>1107650</v>
      </c>
      <c r="I37" s="34">
        <f>Agg_Opex!$C$32</f>
        <v>1021922</v>
      </c>
      <c r="J37" s="17">
        <f t="shared" si="2"/>
        <v>2645474.88</v>
      </c>
      <c r="K37" s="17">
        <f t="shared" si="3"/>
        <v>958868.16607151926</v>
      </c>
      <c r="L37" s="21">
        <f t="shared" si="4"/>
        <v>9.5389802292859233E-2</v>
      </c>
      <c r="M37" s="34">
        <f t="shared" si="5"/>
        <v>10052103.506071519</v>
      </c>
      <c r="N37" s="34" t="e">
        <f t="shared" si="6"/>
        <v>#N/A</v>
      </c>
      <c r="O37" s="17">
        <f t="shared" si="7"/>
        <v>958868.16607151926</v>
      </c>
      <c r="P37" s="17" t="e">
        <f t="shared" si="8"/>
        <v>#N/A</v>
      </c>
      <c r="Q37" s="17">
        <f t="shared" si="9"/>
        <v>28847315.652137741</v>
      </c>
    </row>
    <row r="38" spans="1:17" x14ac:dyDescent="0.3">
      <c r="A38" s="13">
        <v>45961</v>
      </c>
      <c r="B38" s="20">
        <v>32</v>
      </c>
      <c r="C38" s="34">
        <f>Agg_Monthly!$B$33</f>
        <v>9788962.0116820671</v>
      </c>
      <c r="D38" s="34">
        <f>Agg_Monthly!$C$33</f>
        <v>6404483.0700000003</v>
      </c>
      <c r="E38" s="17">
        <f t="shared" si="0"/>
        <v>3384478.9416820668</v>
      </c>
      <c r="F38" s="21">
        <f t="shared" si="1"/>
        <v>0.34574441474418405</v>
      </c>
      <c r="G38" s="34">
        <f>Agg_Monthly!$D$33</f>
        <v>486439.25</v>
      </c>
      <c r="H38" s="34">
        <f>Agg_Opex!$B$33</f>
        <v>1016706.25</v>
      </c>
      <c r="I38" s="34">
        <f>Agg_Opex!$C$33</f>
        <v>1188028</v>
      </c>
      <c r="J38" s="17">
        <f t="shared" si="2"/>
        <v>2691173.5</v>
      </c>
      <c r="K38" s="17">
        <f t="shared" si="3"/>
        <v>693305.44168206677</v>
      </c>
      <c r="L38" s="21">
        <f t="shared" si="4"/>
        <v>7.0825225478930429E-2</v>
      </c>
      <c r="M38" s="34">
        <f t="shared" si="5"/>
        <v>9788962.0116820671</v>
      </c>
      <c r="N38" s="34" t="e">
        <f t="shared" si="6"/>
        <v>#N/A</v>
      </c>
      <c r="O38" s="17">
        <f t="shared" si="7"/>
        <v>693305.44168206677</v>
      </c>
      <c r="P38" s="17" t="e">
        <f t="shared" si="8"/>
        <v>#N/A</v>
      </c>
      <c r="Q38" s="17">
        <f t="shared" si="9"/>
        <v>29053862.99669753</v>
      </c>
    </row>
    <row r="39" spans="1:17" x14ac:dyDescent="0.3">
      <c r="A39" s="13">
        <v>45991</v>
      </c>
      <c r="B39" s="20">
        <v>33</v>
      </c>
      <c r="C39" s="34">
        <f>Agg_Monthly!$B$34</f>
        <v>10925888.2990475</v>
      </c>
      <c r="D39" s="34">
        <f>Agg_Monthly!$C$34</f>
        <v>7271478.3499999996</v>
      </c>
      <c r="E39" s="17">
        <f t="shared" si="0"/>
        <v>3654409.9490475003</v>
      </c>
      <c r="F39" s="21">
        <f t="shared" si="1"/>
        <v>0.33447257092735294</v>
      </c>
      <c r="G39" s="34">
        <f>Agg_Monthly!$D$34</f>
        <v>506200.3</v>
      </c>
      <c r="H39" s="34">
        <f>Agg_Opex!$B$34</f>
        <v>1023592.416666667</v>
      </c>
      <c r="I39" s="34">
        <f>Agg_Opex!$C$34</f>
        <v>1142771</v>
      </c>
      <c r="J39" s="17">
        <f t="shared" si="2"/>
        <v>2672563.7166666668</v>
      </c>
      <c r="K39" s="17">
        <f t="shared" si="3"/>
        <v>981846.23238083348</v>
      </c>
      <c r="L39" s="21">
        <f t="shared" si="4"/>
        <v>8.9864201930970611E-2</v>
      </c>
      <c r="M39" s="34">
        <f t="shared" si="5"/>
        <v>10925888.2990475</v>
      </c>
      <c r="N39" s="34" t="e">
        <f t="shared" si="6"/>
        <v>#N/A</v>
      </c>
      <c r="O39" s="17">
        <f t="shared" si="7"/>
        <v>981846.23238083348</v>
      </c>
      <c r="P39" s="17" t="e">
        <f t="shared" si="8"/>
        <v>#N/A</v>
      </c>
      <c r="Q39" s="17">
        <f t="shared" si="9"/>
        <v>30766953.816801086</v>
      </c>
    </row>
    <row r="40" spans="1:17" x14ac:dyDescent="0.3">
      <c r="A40" s="13">
        <v>46022</v>
      </c>
      <c r="B40" s="20">
        <v>34</v>
      </c>
      <c r="C40" s="34">
        <f>Agg_Monthly!$B$35</f>
        <v>12006271.604893159</v>
      </c>
      <c r="D40" s="34">
        <f>Agg_Monthly!$C$35</f>
        <v>7953390.0199999996</v>
      </c>
      <c r="E40" s="17">
        <f t="shared" si="0"/>
        <v>4052881.5848931596</v>
      </c>
      <c r="F40" s="21">
        <f t="shared" si="1"/>
        <v>0.33756370988987178</v>
      </c>
      <c r="G40" s="34">
        <f>Agg_Monthly!$D$35</f>
        <v>572392</v>
      </c>
      <c r="H40" s="34">
        <f>Agg_Opex!$B$35</f>
        <v>1061868.333333333</v>
      </c>
      <c r="I40" s="34">
        <f>Agg_Opex!$C$35</f>
        <v>1167716</v>
      </c>
      <c r="J40" s="17">
        <f t="shared" si="2"/>
        <v>2801976.333333333</v>
      </c>
      <c r="K40" s="17">
        <f t="shared" si="3"/>
        <v>1250905.2515598265</v>
      </c>
      <c r="L40" s="21">
        <f t="shared" si="4"/>
        <v>0.1041876523141472</v>
      </c>
      <c r="M40" s="34">
        <f t="shared" si="5"/>
        <v>12006271.604893159</v>
      </c>
      <c r="N40" s="34" t="e">
        <f t="shared" si="6"/>
        <v>#N/A</v>
      </c>
      <c r="O40" s="17">
        <f t="shared" si="7"/>
        <v>1250905.2515598265</v>
      </c>
      <c r="P40" s="17" t="e">
        <f t="shared" si="8"/>
        <v>#N/A</v>
      </c>
      <c r="Q40" s="17">
        <f t="shared" si="9"/>
        <v>32721121.915622726</v>
      </c>
    </row>
    <row r="41" spans="1:17" x14ac:dyDescent="0.3">
      <c r="A41" s="13">
        <v>46053</v>
      </c>
      <c r="B41" s="20">
        <v>35</v>
      </c>
      <c r="C41" s="34">
        <f>Agg_Monthly!$B$36</f>
        <v>8179644.9600331858</v>
      </c>
      <c r="D41" s="34">
        <f>Agg_Monthly!$C$36</f>
        <v>5199996.2300000004</v>
      </c>
      <c r="E41" s="17">
        <f t="shared" si="0"/>
        <v>2979648.7300331853</v>
      </c>
      <c r="F41" s="21">
        <f t="shared" si="1"/>
        <v>0.36427604677123987</v>
      </c>
      <c r="G41" s="34">
        <f>Agg_Monthly!$D$36</f>
        <v>405348.32</v>
      </c>
      <c r="H41" s="34">
        <f>Agg_Opex!$B$36</f>
        <v>1059106.166666667</v>
      </c>
      <c r="I41" s="34">
        <f>Agg_Opex!$C$36</f>
        <v>1079077</v>
      </c>
      <c r="J41" s="17">
        <f t="shared" si="2"/>
        <v>2543531.4866666673</v>
      </c>
      <c r="K41" s="17">
        <f t="shared" si="3"/>
        <v>436117.24336651852</v>
      </c>
      <c r="L41" s="21">
        <f t="shared" si="4"/>
        <v>5.3317380582830226E-2</v>
      </c>
      <c r="M41" s="34">
        <f t="shared" si="5"/>
        <v>8179644.9600331858</v>
      </c>
      <c r="N41" s="34" t="e">
        <f t="shared" si="6"/>
        <v>#N/A</v>
      </c>
      <c r="O41" s="17">
        <f t="shared" si="7"/>
        <v>436117.24336651852</v>
      </c>
      <c r="P41" s="17" t="e">
        <f t="shared" si="8"/>
        <v>#N/A</v>
      </c>
      <c r="Q41" s="17">
        <f t="shared" si="9"/>
        <v>31111804.863973845</v>
      </c>
    </row>
    <row r="42" spans="1:17" x14ac:dyDescent="0.3">
      <c r="A42" s="23">
        <v>46081</v>
      </c>
      <c r="B42" s="24">
        <v>36</v>
      </c>
      <c r="C42" s="41">
        <f>Agg_Monthly!$B$37</f>
        <v>8640981.1325286292</v>
      </c>
      <c r="D42" s="41">
        <f>Agg_Monthly!$C$37</f>
        <v>5587282.54</v>
      </c>
      <c r="E42" s="25">
        <f t="shared" si="0"/>
        <v>3053698.5925286291</v>
      </c>
      <c r="F42" s="26">
        <f t="shared" si="1"/>
        <v>0.3533972063696682</v>
      </c>
      <c r="G42" s="41">
        <f>Agg_Monthly!$D$37</f>
        <v>397928.15</v>
      </c>
      <c r="H42" s="41">
        <f>Agg_Opex!$B$37</f>
        <v>1070745.416666667</v>
      </c>
      <c r="I42" s="41">
        <f>Agg_Opex!$C$37</f>
        <v>1074950</v>
      </c>
      <c r="J42" s="25">
        <f t="shared" si="2"/>
        <v>2543623.5666666669</v>
      </c>
      <c r="K42" s="25">
        <f t="shared" si="3"/>
        <v>510075.02586196223</v>
      </c>
      <c r="L42" s="26">
        <f t="shared" si="4"/>
        <v>5.9029758084045009E-2</v>
      </c>
      <c r="M42" s="41">
        <f t="shared" si="5"/>
        <v>8640981.1325286292</v>
      </c>
      <c r="N42" s="41" t="e">
        <f t="shared" si="6"/>
        <v>#N/A</v>
      </c>
      <c r="O42" s="25">
        <f t="shared" si="7"/>
        <v>510075.02586196223</v>
      </c>
      <c r="P42" s="25" t="e">
        <f t="shared" si="8"/>
        <v>#N/A</v>
      </c>
      <c r="Q42" s="25">
        <f t="shared" si="9"/>
        <v>28826897.697454974</v>
      </c>
    </row>
    <row r="43" spans="1:17" x14ac:dyDescent="0.3">
      <c r="A43" s="13">
        <v>46112</v>
      </c>
      <c r="B43" s="20">
        <v>37</v>
      </c>
      <c r="C43" s="17">
        <f>'Forecast Engine'!$E$11</f>
        <v>9289969.8001310714</v>
      </c>
      <c r="D43" s="17">
        <f>'Forecast Engine'!$F$11</f>
        <v>6125122.0573206833</v>
      </c>
      <c r="E43" s="17">
        <f t="shared" si="0"/>
        <v>3164847.7428103881</v>
      </c>
      <c r="F43" s="21">
        <f t="shared" si="1"/>
        <v>0.34067363090520869</v>
      </c>
      <c r="G43" s="17">
        <f>'Forecast Engine'!$G$11</f>
        <v>1300595.7720183502</v>
      </c>
      <c r="H43" s="17">
        <f>'Forecast Engine'!$H$11</f>
        <v>1029957.7166544743</v>
      </c>
      <c r="I43" s="17">
        <f>'Forecast Engine'!$I$11</f>
        <v>1092512.0760928479</v>
      </c>
      <c r="J43" s="17">
        <f t="shared" si="2"/>
        <v>3423065.5647656722</v>
      </c>
      <c r="K43" s="17">
        <f t="shared" si="3"/>
        <v>-258217.82195528422</v>
      </c>
      <c r="L43" s="21">
        <f t="shared" si="4"/>
        <v>-2.7795334916120077E-2</v>
      </c>
      <c r="M43" s="17" t="e">
        <f t="shared" si="5"/>
        <v>#N/A</v>
      </c>
      <c r="N43" s="17">
        <f t="shared" si="6"/>
        <v>9289969.8001310714</v>
      </c>
      <c r="O43" s="17" t="e">
        <f t="shared" si="7"/>
        <v>#N/A</v>
      </c>
      <c r="P43" s="17">
        <f t="shared" si="8"/>
        <v>-258217.82195528422</v>
      </c>
      <c r="Q43" s="17">
        <f t="shared" ref="Q43:Q54" si="10">SUM(C41:C43)</f>
        <v>26110595.892692886</v>
      </c>
    </row>
    <row r="44" spans="1:17" x14ac:dyDescent="0.3">
      <c r="A44" s="13">
        <v>46142</v>
      </c>
      <c r="B44" s="20">
        <v>38</v>
      </c>
      <c r="C44" s="17">
        <f>'Forecast Engine'!$E$12</f>
        <v>9387237.7448638529</v>
      </c>
      <c r="D44" s="17">
        <f>'Forecast Engine'!$F$12</f>
        <v>6189253.3781506605</v>
      </c>
      <c r="E44" s="17">
        <f t="shared" si="0"/>
        <v>3197984.3667131923</v>
      </c>
      <c r="F44" s="21">
        <f t="shared" si="1"/>
        <v>0.34067363090520875</v>
      </c>
      <c r="G44" s="17">
        <f>'Forecast Engine'!$G$12</f>
        <v>1314213.2842809395</v>
      </c>
      <c r="H44" s="17">
        <f>'Forecast Engine'!$H$12</f>
        <v>1037380.9549203529</v>
      </c>
      <c r="I44" s="17">
        <f>'Forecast Engine'!$I$12</f>
        <v>1100386.1638520327</v>
      </c>
      <c r="J44" s="17">
        <f t="shared" si="2"/>
        <v>3451980.4030533251</v>
      </c>
      <c r="K44" s="17">
        <f t="shared" si="3"/>
        <v>-253996.03634013282</v>
      </c>
      <c r="L44" s="21">
        <f t="shared" si="4"/>
        <v>-2.7057590661225619E-2</v>
      </c>
      <c r="M44" s="17" t="e">
        <f t="shared" si="5"/>
        <v>#N/A</v>
      </c>
      <c r="N44" s="17">
        <f t="shared" si="6"/>
        <v>9387237.7448638529</v>
      </c>
      <c r="O44" s="17" t="e">
        <f t="shared" si="7"/>
        <v>#N/A</v>
      </c>
      <c r="P44" s="17">
        <f t="shared" si="8"/>
        <v>-253996.03634013282</v>
      </c>
      <c r="Q44" s="17">
        <f t="shared" si="10"/>
        <v>27318188.677523553</v>
      </c>
    </row>
    <row r="45" spans="1:17" x14ac:dyDescent="0.3">
      <c r="A45" s="13">
        <v>46173</v>
      </c>
      <c r="B45" s="20">
        <v>39</v>
      </c>
      <c r="C45" s="17">
        <f>'Forecast Engine'!$E$13</f>
        <v>9484505.6895966362</v>
      </c>
      <c r="D45" s="17">
        <f>'Forecast Engine'!$F$13</f>
        <v>6253384.6989806397</v>
      </c>
      <c r="E45" s="17">
        <f t="shared" si="0"/>
        <v>3231120.9906159965</v>
      </c>
      <c r="F45" s="21">
        <f t="shared" si="1"/>
        <v>0.34067363090520869</v>
      </c>
      <c r="G45" s="17">
        <f>'Forecast Engine'!$G$13</f>
        <v>1327830.7965435293</v>
      </c>
      <c r="H45" s="17">
        <f>'Forecast Engine'!$H$13</f>
        <v>1044857.6948644667</v>
      </c>
      <c r="I45" s="17">
        <f>'Forecast Engine'!$I$13</f>
        <v>1108317.0027075179</v>
      </c>
      <c r="J45" s="17">
        <f t="shared" si="2"/>
        <v>3481005.4941155137</v>
      </c>
      <c r="K45" s="17">
        <f t="shared" si="3"/>
        <v>-249884.50349951733</v>
      </c>
      <c r="L45" s="21">
        <f t="shared" si="4"/>
        <v>-2.634660273055776E-2</v>
      </c>
      <c r="M45" s="17" t="e">
        <f t="shared" si="5"/>
        <v>#N/A</v>
      </c>
      <c r="N45" s="17">
        <f t="shared" si="6"/>
        <v>9484505.6895966362</v>
      </c>
      <c r="O45" s="17" t="e">
        <f t="shared" si="7"/>
        <v>#N/A</v>
      </c>
      <c r="P45" s="17">
        <f t="shared" si="8"/>
        <v>-249884.50349951733</v>
      </c>
      <c r="Q45" s="17">
        <f t="shared" si="10"/>
        <v>28161713.234591559</v>
      </c>
    </row>
    <row r="46" spans="1:17" x14ac:dyDescent="0.3">
      <c r="A46" s="13">
        <v>46203</v>
      </c>
      <c r="B46" s="20">
        <v>40</v>
      </c>
      <c r="C46" s="17">
        <f>'Forecast Engine'!$E$14</f>
        <v>9581773.6343294177</v>
      </c>
      <c r="D46" s="17">
        <f>'Forecast Engine'!$F$14</f>
        <v>6317516.019810617</v>
      </c>
      <c r="E46" s="17">
        <f t="shared" si="0"/>
        <v>3264257.6145188008</v>
      </c>
      <c r="F46" s="21">
        <f t="shared" si="1"/>
        <v>0.34067363090520875</v>
      </c>
      <c r="G46" s="17">
        <f>'Forecast Engine'!$G$14</f>
        <v>1341448.3088061186</v>
      </c>
      <c r="H46" s="17">
        <f>'Forecast Engine'!$H$14</f>
        <v>1052388.3220907082</v>
      </c>
      <c r="I46" s="17">
        <f>'Forecast Engine'!$I$14</f>
        <v>1116305.0016828026</v>
      </c>
      <c r="J46" s="17">
        <f t="shared" si="2"/>
        <v>3510141.6325796293</v>
      </c>
      <c r="K46" s="17">
        <f t="shared" si="3"/>
        <v>-245884.01806082856</v>
      </c>
      <c r="L46" s="21">
        <f t="shared" si="4"/>
        <v>-2.5661639216760394E-2</v>
      </c>
      <c r="M46" s="17" t="e">
        <f t="shared" si="5"/>
        <v>#N/A</v>
      </c>
      <c r="N46" s="17">
        <f t="shared" si="6"/>
        <v>9581773.6343294177</v>
      </c>
      <c r="O46" s="17" t="e">
        <f t="shared" si="7"/>
        <v>#N/A</v>
      </c>
      <c r="P46" s="17">
        <f t="shared" si="8"/>
        <v>-245884.01806082856</v>
      </c>
      <c r="Q46" s="17">
        <f t="shared" si="10"/>
        <v>28453517.068789907</v>
      </c>
    </row>
    <row r="47" spans="1:17" x14ac:dyDescent="0.3">
      <c r="A47" s="13">
        <v>46234</v>
      </c>
      <c r="B47" s="20">
        <v>41</v>
      </c>
      <c r="C47" s="17">
        <f>'Forecast Engine'!$E$15</f>
        <v>9679041.5790622011</v>
      </c>
      <c r="D47" s="17">
        <f>'Forecast Engine'!$F$15</f>
        <v>6381647.3406405961</v>
      </c>
      <c r="E47" s="17">
        <f t="shared" si="0"/>
        <v>3297394.238421605</v>
      </c>
      <c r="F47" s="21">
        <f t="shared" si="1"/>
        <v>0.34067363090520875</v>
      </c>
      <c r="G47" s="17">
        <f>'Forecast Engine'!$G$15</f>
        <v>1355065.8210687083</v>
      </c>
      <c r="H47" s="17">
        <f>'Forecast Engine'!$H$15</f>
        <v>1059973.2249821424</v>
      </c>
      <c r="I47" s="17">
        <f>'Forecast Engine'!$I$15</f>
        <v>1124350.5727493509</v>
      </c>
      <c r="J47" s="17">
        <f t="shared" si="2"/>
        <v>3539389.6188002015</v>
      </c>
      <c r="K47" s="17">
        <f t="shared" si="3"/>
        <v>-241995.38037859672</v>
      </c>
      <c r="L47" s="21">
        <f t="shared" si="4"/>
        <v>-2.5001998224915525E-2</v>
      </c>
      <c r="M47" s="17" t="e">
        <f t="shared" si="5"/>
        <v>#N/A</v>
      </c>
      <c r="N47" s="17">
        <f t="shared" si="6"/>
        <v>9679041.5790622011</v>
      </c>
      <c r="O47" s="17" t="e">
        <f t="shared" si="7"/>
        <v>#N/A</v>
      </c>
      <c r="P47" s="17">
        <f t="shared" si="8"/>
        <v>-241995.38037859672</v>
      </c>
      <c r="Q47" s="17">
        <f t="shared" si="10"/>
        <v>28745320.902988255</v>
      </c>
    </row>
    <row r="48" spans="1:17" x14ac:dyDescent="0.3">
      <c r="A48" s="13">
        <v>46265</v>
      </c>
      <c r="B48" s="20">
        <v>42</v>
      </c>
      <c r="C48" s="17">
        <f>'Forecast Engine'!$E$16</f>
        <v>9776309.5237949826</v>
      </c>
      <c r="D48" s="17">
        <f>'Forecast Engine'!$F$16</f>
        <v>6445778.6614705734</v>
      </c>
      <c r="E48" s="17">
        <f t="shared" si="0"/>
        <v>3330530.8623244092</v>
      </c>
      <c r="F48" s="21">
        <f t="shared" si="1"/>
        <v>0.34067363090520875</v>
      </c>
      <c r="G48" s="17">
        <f>'Forecast Engine'!$G$16</f>
        <v>1368683.3333312976</v>
      </c>
      <c r="H48" s="17">
        <f>'Forecast Engine'!$H$16</f>
        <v>1067612.7947210369</v>
      </c>
      <c r="I48" s="17">
        <f>'Forecast Engine'!$I$16</f>
        <v>1132454.1308478389</v>
      </c>
      <c r="J48" s="17">
        <f t="shared" si="2"/>
        <v>3568750.258900173</v>
      </c>
      <c r="K48" s="17">
        <f t="shared" si="3"/>
        <v>-238219.39657576429</v>
      </c>
      <c r="L48" s="21">
        <f t="shared" si="4"/>
        <v>-2.4367006383743457E-2</v>
      </c>
      <c r="M48" s="17" t="e">
        <f t="shared" si="5"/>
        <v>#N/A</v>
      </c>
      <c r="N48" s="17">
        <f t="shared" si="6"/>
        <v>9776309.5237949826</v>
      </c>
      <c r="O48" s="17" t="e">
        <f t="shared" si="7"/>
        <v>#N/A</v>
      </c>
      <c r="P48" s="17">
        <f t="shared" si="8"/>
        <v>-238219.39657576429</v>
      </c>
      <c r="Q48" s="17">
        <f t="shared" si="10"/>
        <v>29037124.7371866</v>
      </c>
    </row>
    <row r="49" spans="1:17" x14ac:dyDescent="0.3">
      <c r="A49" s="13">
        <v>46295</v>
      </c>
      <c r="B49" s="20">
        <v>43</v>
      </c>
      <c r="C49" s="17">
        <f>'Forecast Engine'!$E$17</f>
        <v>9873577.4685277659</v>
      </c>
      <c r="D49" s="17">
        <f>'Forecast Engine'!$F$17</f>
        <v>6509909.9823005525</v>
      </c>
      <c r="E49" s="17">
        <f t="shared" si="0"/>
        <v>3363667.4862272134</v>
      </c>
      <c r="F49" s="21">
        <f t="shared" si="1"/>
        <v>0.34067363090520875</v>
      </c>
      <c r="G49" s="17">
        <f>'Forecast Engine'!$G$17</f>
        <v>1382300.8455938874</v>
      </c>
      <c r="H49" s="17">
        <f>'Forecast Engine'!$H$17</f>
        <v>1075307.4253090357</v>
      </c>
      <c r="I49" s="17">
        <f>'Forecast Engine'!$I$17</f>
        <v>1140616.093909554</v>
      </c>
      <c r="J49" s="17">
        <f t="shared" si="2"/>
        <v>3598224.3648124775</v>
      </c>
      <c r="K49" s="17">
        <f t="shared" si="3"/>
        <v>-234556.87858526362</v>
      </c>
      <c r="L49" s="21">
        <f t="shared" si="4"/>
        <v>-2.3756017444833806E-2</v>
      </c>
      <c r="M49" s="17" t="e">
        <f t="shared" si="5"/>
        <v>#N/A</v>
      </c>
      <c r="N49" s="17">
        <f t="shared" si="6"/>
        <v>9873577.4685277659</v>
      </c>
      <c r="O49" s="17" t="e">
        <f t="shared" si="7"/>
        <v>#N/A</v>
      </c>
      <c r="P49" s="17">
        <f t="shared" si="8"/>
        <v>-234556.87858526362</v>
      </c>
      <c r="Q49" s="17">
        <f t="shared" si="10"/>
        <v>29328928.571384951</v>
      </c>
    </row>
    <row r="50" spans="1:17" x14ac:dyDescent="0.3">
      <c r="A50" s="13">
        <v>46326</v>
      </c>
      <c r="B50" s="20">
        <v>44</v>
      </c>
      <c r="C50" s="17">
        <f>'Forecast Engine'!$E$18</f>
        <v>9970845.4132605474</v>
      </c>
      <c r="D50" s="17">
        <f>'Forecast Engine'!$F$18</f>
        <v>6574041.3031305298</v>
      </c>
      <c r="E50" s="17">
        <f t="shared" si="0"/>
        <v>3396804.1101300176</v>
      </c>
      <c r="F50" s="21">
        <f t="shared" si="1"/>
        <v>0.3406736309052088</v>
      </c>
      <c r="G50" s="17">
        <f>'Forecast Engine'!$G$18</f>
        <v>1395918.3578564767</v>
      </c>
      <c r="H50" s="17">
        <f>'Forecast Engine'!$H$18</f>
        <v>1083057.5135874804</v>
      </c>
      <c r="I50" s="17">
        <f>'Forecast Engine'!$I$18</f>
        <v>1148836.8828779489</v>
      </c>
      <c r="J50" s="17">
        <f t="shared" si="2"/>
        <v>3627812.7543219058</v>
      </c>
      <c r="K50" s="17">
        <f t="shared" si="3"/>
        <v>-231008.64419188839</v>
      </c>
      <c r="L50" s="21">
        <f t="shared" si="4"/>
        <v>-2.3168410963895054E-2</v>
      </c>
      <c r="M50" s="17" t="e">
        <f t="shared" si="5"/>
        <v>#N/A</v>
      </c>
      <c r="N50" s="17">
        <f t="shared" si="6"/>
        <v>9970845.4132605474</v>
      </c>
      <c r="O50" s="17" t="e">
        <f t="shared" si="7"/>
        <v>#N/A</v>
      </c>
      <c r="P50" s="17">
        <f t="shared" si="8"/>
        <v>-231008.64419188839</v>
      </c>
      <c r="Q50" s="17">
        <f t="shared" si="10"/>
        <v>29620732.4055833</v>
      </c>
    </row>
    <row r="51" spans="1:17" x14ac:dyDescent="0.3">
      <c r="A51" s="13">
        <v>46356</v>
      </c>
      <c r="B51" s="20">
        <v>45</v>
      </c>
      <c r="C51" s="17">
        <f>'Forecast Engine'!$E$19</f>
        <v>10068113.357993333</v>
      </c>
      <c r="D51" s="17">
        <f>'Forecast Engine'!$F$19</f>
        <v>6638172.6239605099</v>
      </c>
      <c r="E51" s="17">
        <f t="shared" si="0"/>
        <v>3429940.7340328228</v>
      </c>
      <c r="F51" s="21">
        <f t="shared" si="1"/>
        <v>0.3406736309052088</v>
      </c>
      <c r="G51" s="17">
        <f>'Forecast Engine'!$G$19</f>
        <v>1409535.8701190667</v>
      </c>
      <c r="H51" s="17">
        <f>'Forecast Engine'!$H$19</f>
        <v>1090863.4592578765</v>
      </c>
      <c r="I51" s="17">
        <f>'Forecast Engine'!$I$19</f>
        <v>1157116.921730353</v>
      </c>
      <c r="J51" s="17">
        <f t="shared" si="2"/>
        <v>3657516.2511072964</v>
      </c>
      <c r="K51" s="17">
        <f t="shared" si="3"/>
        <v>-227575.51707447344</v>
      </c>
      <c r="L51" s="21">
        <f t="shared" si="4"/>
        <v>-2.2603591058477247E-2</v>
      </c>
      <c r="M51" s="17" t="e">
        <f t="shared" si="5"/>
        <v>#N/A</v>
      </c>
      <c r="N51" s="17">
        <f t="shared" si="6"/>
        <v>10068113.357993333</v>
      </c>
      <c r="O51" s="17" t="e">
        <f t="shared" si="7"/>
        <v>#N/A</v>
      </c>
      <c r="P51" s="17">
        <f t="shared" si="8"/>
        <v>-227575.51707447344</v>
      </c>
      <c r="Q51" s="17">
        <f t="shared" si="10"/>
        <v>29912536.239781648</v>
      </c>
    </row>
    <row r="52" spans="1:17" x14ac:dyDescent="0.3">
      <c r="A52" s="13">
        <v>46387</v>
      </c>
      <c r="B52" s="20">
        <v>46</v>
      </c>
      <c r="C52" s="17">
        <f>'Forecast Engine'!$E$20</f>
        <v>10165381.302726116</v>
      </c>
      <c r="D52" s="17">
        <f>'Forecast Engine'!$F$20</f>
        <v>6702303.944790489</v>
      </c>
      <c r="E52" s="17">
        <f t="shared" si="0"/>
        <v>3463077.357935627</v>
      </c>
      <c r="F52" s="21">
        <f t="shared" si="1"/>
        <v>0.34067363090520875</v>
      </c>
      <c r="G52" s="17">
        <f>'Forecast Engine'!$G$20</f>
        <v>1423153.3823816564</v>
      </c>
      <c r="H52" s="17">
        <f>'Forecast Engine'!$H$20</f>
        <v>1098725.6649025073</v>
      </c>
      <c r="I52" s="17">
        <f>'Forecast Engine'!$I$20</f>
        <v>1165456.6374998365</v>
      </c>
      <c r="J52" s="17">
        <f t="shared" si="2"/>
        <v>3687335.6847839998</v>
      </c>
      <c r="K52" s="17">
        <f t="shared" si="3"/>
        <v>-224258.32684837328</v>
      </c>
      <c r="L52" s="21">
        <f t="shared" si="4"/>
        <v>-2.2060985237044917E-2</v>
      </c>
      <c r="M52" s="17" t="e">
        <f t="shared" si="5"/>
        <v>#N/A</v>
      </c>
      <c r="N52" s="17">
        <f t="shared" si="6"/>
        <v>10165381.302726116</v>
      </c>
      <c r="O52" s="17" t="e">
        <f t="shared" si="7"/>
        <v>#N/A</v>
      </c>
      <c r="P52" s="17">
        <f t="shared" si="8"/>
        <v>-224258.32684837328</v>
      </c>
      <c r="Q52" s="17">
        <f t="shared" si="10"/>
        <v>30204340.073979996</v>
      </c>
    </row>
    <row r="53" spans="1:17" x14ac:dyDescent="0.3">
      <c r="A53" s="13">
        <v>46418</v>
      </c>
      <c r="B53" s="20">
        <v>47</v>
      </c>
      <c r="C53" s="17">
        <f>'Forecast Engine'!$E$21</f>
        <v>10262649.247458898</v>
      </c>
      <c r="D53" s="17">
        <f>'Forecast Engine'!$F$21</f>
        <v>6766435.2656204663</v>
      </c>
      <c r="E53" s="17">
        <f t="shared" si="0"/>
        <v>3496213.9818384312</v>
      </c>
      <c r="F53" s="21">
        <f t="shared" si="1"/>
        <v>0.3406736309052088</v>
      </c>
      <c r="G53" s="17">
        <f>'Forecast Engine'!$G$21</f>
        <v>1436770.8946442457</v>
      </c>
      <c r="H53" s="17">
        <f>'Forecast Engine'!$H$21</f>
        <v>1106644.5360051969</v>
      </c>
      <c r="I53" s="17">
        <f>'Forecast Engine'!$I$21</f>
        <v>1173856.4602972353</v>
      </c>
      <c r="J53" s="17">
        <f t="shared" si="2"/>
        <v>3717271.8909466779</v>
      </c>
      <c r="K53" s="17">
        <f t="shared" si="3"/>
        <v>-221057.90910824668</v>
      </c>
      <c r="L53" s="21">
        <f t="shared" si="4"/>
        <v>-2.1540043294667032E-2</v>
      </c>
      <c r="M53" s="17" t="e">
        <f t="shared" si="5"/>
        <v>#N/A</v>
      </c>
      <c r="N53" s="17">
        <f t="shared" si="6"/>
        <v>10262649.247458898</v>
      </c>
      <c r="O53" s="17" t="e">
        <f t="shared" si="7"/>
        <v>#N/A</v>
      </c>
      <c r="P53" s="17">
        <f t="shared" si="8"/>
        <v>-221057.90910824668</v>
      </c>
      <c r="Q53" s="17">
        <f t="shared" si="10"/>
        <v>30496143.908178344</v>
      </c>
    </row>
    <row r="54" spans="1:17" x14ac:dyDescent="0.3">
      <c r="A54" s="13">
        <v>46446</v>
      </c>
      <c r="B54" s="20">
        <v>48</v>
      </c>
      <c r="C54" s="17">
        <f>'Forecast Engine'!$E$22</f>
        <v>10359917.192191681</v>
      </c>
      <c r="D54" s="17">
        <f>'Forecast Engine'!$F$22</f>
        <v>6830566.5864504455</v>
      </c>
      <c r="E54" s="17">
        <f t="shared" si="0"/>
        <v>3529350.6057412354</v>
      </c>
      <c r="F54" s="21">
        <f t="shared" si="1"/>
        <v>0.34067363090520875</v>
      </c>
      <c r="G54" s="17">
        <f>'Forecast Engine'!$G$22</f>
        <v>1450388.4069068355</v>
      </c>
      <c r="H54" s="17">
        <f>'Forecast Engine'!$H$22</f>
        <v>1114620.4809722225</v>
      </c>
      <c r="I54" s="17">
        <f>'Forecast Engine'!$I$22</f>
        <v>1182316.8233333332</v>
      </c>
      <c r="J54" s="17">
        <f t="shared" si="2"/>
        <v>3747325.711212391</v>
      </c>
      <c r="K54" s="17">
        <f t="shared" si="3"/>
        <v>-217975.10547115584</v>
      </c>
      <c r="L54" s="21">
        <f t="shared" si="4"/>
        <v>-2.1040236270946713E-2</v>
      </c>
      <c r="M54" s="17" t="e">
        <f t="shared" si="5"/>
        <v>#N/A</v>
      </c>
      <c r="N54" s="17">
        <f t="shared" si="6"/>
        <v>10359917.192191681</v>
      </c>
      <c r="O54" s="17" t="e">
        <f t="shared" si="7"/>
        <v>#N/A</v>
      </c>
      <c r="P54" s="17">
        <f t="shared" si="8"/>
        <v>-217975.10547115584</v>
      </c>
      <c r="Q54" s="17">
        <f t="shared" si="10"/>
        <v>30787947.742376693</v>
      </c>
    </row>
  </sheetData>
  <mergeCells count="2">
    <mergeCell ref="A4:Q4"/>
    <mergeCell ref="A1:Q2"/>
  </mergeCells>
  <conditionalFormatting sqref="L7:L54">
    <cfRule type="cellIs" dxfId="1" priority="1" operator="lessThan">
      <formula>0.08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showGridLines="0" workbookViewId="0">
      <selection activeCell="C4" sqref="C4:E8"/>
    </sheetView>
  </sheetViews>
  <sheetFormatPr defaultRowHeight="14.4" x14ac:dyDescent="0.3"/>
  <cols>
    <col min="1" max="1" width="10" customWidth="1"/>
    <col min="2" max="2" width="8.21875" customWidth="1"/>
    <col min="3" max="3" width="15" customWidth="1"/>
    <col min="4" max="4" width="8" customWidth="1"/>
    <col min="5" max="5" width="15" customWidth="1"/>
    <col min="6" max="7" width="12" customWidth="1"/>
    <col min="8" max="8" width="22" customWidth="1"/>
    <col min="9" max="9" width="16" customWidth="1"/>
    <col min="10" max="10" width="12" customWidth="1"/>
    <col min="11" max="11" width="8" customWidth="1"/>
    <col min="12" max="12" width="9" customWidth="1"/>
  </cols>
  <sheetData>
    <row r="1" spans="1:12" ht="24" customHeight="1" x14ac:dyDescent="0.3">
      <c r="A1" s="78" t="s">
        <v>75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4" customHeight="1" x14ac:dyDescent="0.3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4" spans="1:12" x14ac:dyDescent="0.3">
      <c r="A4" s="43" t="s">
        <v>38</v>
      </c>
      <c r="B4" s="44" t="str">
        <f>Inputs!$B$4</f>
        <v>Downside</v>
      </c>
      <c r="C4" s="69" t="s">
        <v>76</v>
      </c>
      <c r="D4" s="70"/>
      <c r="E4" s="71"/>
      <c r="H4" s="29" t="s">
        <v>77</v>
      </c>
      <c r="I4" s="45">
        <f>AVERAGE(Model_PnL!$F$31:$F$42)</f>
        <v>0.35267363090520881</v>
      </c>
    </row>
    <row r="5" spans="1:12" ht="28.95" customHeight="1" x14ac:dyDescent="0.3">
      <c r="A5" s="43" t="s">
        <v>78</v>
      </c>
      <c r="B5" s="27">
        <f>Inputs!$E$12</f>
        <v>-0.06</v>
      </c>
      <c r="C5" s="72"/>
      <c r="D5" s="73"/>
      <c r="E5" s="74"/>
      <c r="H5" s="29" t="s">
        <v>79</v>
      </c>
      <c r="I5" s="30">
        <f>AVERAGE(Model_PnL!$H$31:$H$42)</f>
        <v>1022587.5972222224</v>
      </c>
    </row>
    <row r="6" spans="1:12" ht="28.95" customHeight="1" x14ac:dyDescent="0.3">
      <c r="A6" s="43" t="s">
        <v>80</v>
      </c>
      <c r="B6" s="28">
        <f>Inputs!$E$13</f>
        <v>-120</v>
      </c>
      <c r="C6" s="72"/>
      <c r="D6" s="73"/>
      <c r="E6" s="74"/>
      <c r="H6" s="29" t="s">
        <v>81</v>
      </c>
      <c r="I6" s="30">
        <f>AVERAGE(Model_PnL!$I$31:$I$42)</f>
        <v>1084694.3333333333</v>
      </c>
    </row>
    <row r="7" spans="1:12" ht="28.95" customHeight="1" x14ac:dyDescent="0.3">
      <c r="A7" s="43" t="s">
        <v>82</v>
      </c>
      <c r="B7" s="27">
        <f>Inputs!$E$14</f>
        <v>0.14000000000000001</v>
      </c>
      <c r="C7" s="72"/>
      <c r="D7" s="73"/>
      <c r="E7" s="74"/>
    </row>
    <row r="8" spans="1:12" ht="43.5" customHeight="1" x14ac:dyDescent="0.3">
      <c r="A8" s="43" t="s">
        <v>83</v>
      </c>
      <c r="B8" s="27">
        <f>Inputs!$E$15</f>
        <v>0.09</v>
      </c>
      <c r="C8" s="75"/>
      <c r="D8" s="76"/>
      <c r="E8" s="77"/>
    </row>
    <row r="10" spans="1:12" ht="27.6" x14ac:dyDescent="0.3">
      <c r="A10" s="6" t="s">
        <v>58</v>
      </c>
      <c r="B10" s="6" t="s">
        <v>59</v>
      </c>
      <c r="C10" s="6" t="s">
        <v>84</v>
      </c>
      <c r="D10" s="6" t="s">
        <v>85</v>
      </c>
      <c r="E10" s="6" t="s">
        <v>86</v>
      </c>
      <c r="F10" s="6" t="s">
        <v>61</v>
      </c>
      <c r="G10" s="6" t="s">
        <v>87</v>
      </c>
      <c r="H10" s="6" t="s">
        <v>65</v>
      </c>
      <c r="I10" s="6" t="s">
        <v>66</v>
      </c>
      <c r="J10" s="6" t="s">
        <v>68</v>
      </c>
      <c r="K10" s="6" t="s">
        <v>63</v>
      </c>
      <c r="L10" s="6" t="s">
        <v>69</v>
      </c>
    </row>
    <row r="11" spans="1:12" x14ac:dyDescent="0.3">
      <c r="A11" s="13">
        <v>46112</v>
      </c>
      <c r="B11" s="20">
        <v>37</v>
      </c>
      <c r="C11" s="17">
        <f>FORECAST(B11,Model_PnL!$C$7:$C$42,Model_PnL!$B$7:$B$42)</f>
        <v>9882946.5958841182</v>
      </c>
      <c r="D11" s="21">
        <f t="shared" ref="D11:D22" si="0">$B$5</f>
        <v>-0.06</v>
      </c>
      <c r="E11" s="17">
        <f t="shared" ref="E11:E22" si="1">C11*(1+$B$5)</f>
        <v>9289969.8001310714</v>
      </c>
      <c r="F11" s="17">
        <f t="shared" ref="F11:F22" si="2">E11*(1-K11)</f>
        <v>6125122.0573206833</v>
      </c>
      <c r="G11" s="17">
        <f t="shared" ref="G11:G22" si="3">E11*$B$7</f>
        <v>1300595.7720183502</v>
      </c>
      <c r="H11" s="17">
        <f t="shared" ref="H11:H22" si="4">$I$5*(1+$B$8)^((B11-36)/12)</f>
        <v>1029957.7166544743</v>
      </c>
      <c r="I11" s="17">
        <f t="shared" ref="I11:I22" si="5">$I$6*(1+$B$8)^((B11-36)/12)</f>
        <v>1092512.0760928479</v>
      </c>
      <c r="J11" s="17">
        <f t="shared" ref="J11:J22" si="6">E11-F11-G11-H11-I11</f>
        <v>-258217.82195528422</v>
      </c>
      <c r="K11" s="21">
        <f t="shared" ref="K11:K22" si="7">$I$4 + $B$6/10000</f>
        <v>0.3406736309052088</v>
      </c>
      <c r="L11" s="21">
        <f t="shared" ref="L11:L22" si="8">IFERROR(J11/E11,0)</f>
        <v>-2.7795334916120077E-2</v>
      </c>
    </row>
    <row r="12" spans="1:12" x14ac:dyDescent="0.3">
      <c r="A12" s="13">
        <v>46142</v>
      </c>
      <c r="B12" s="20">
        <v>38</v>
      </c>
      <c r="C12" s="17">
        <f>FORECAST(B12,Model_PnL!$C$7:$C$42,Model_PnL!$B$7:$B$42)</f>
        <v>9986423.1328338869</v>
      </c>
      <c r="D12" s="21">
        <f t="shared" si="0"/>
        <v>-0.06</v>
      </c>
      <c r="E12" s="17">
        <f t="shared" si="1"/>
        <v>9387237.7448638529</v>
      </c>
      <c r="F12" s="17">
        <f t="shared" si="2"/>
        <v>6189253.3781506605</v>
      </c>
      <c r="G12" s="17">
        <f t="shared" si="3"/>
        <v>1314213.2842809395</v>
      </c>
      <c r="H12" s="17">
        <f t="shared" si="4"/>
        <v>1037380.9549203529</v>
      </c>
      <c r="I12" s="17">
        <f t="shared" si="5"/>
        <v>1100386.1638520327</v>
      </c>
      <c r="J12" s="17">
        <f t="shared" si="6"/>
        <v>-253996.03634013282</v>
      </c>
      <c r="K12" s="21">
        <f t="shared" si="7"/>
        <v>0.3406736309052088</v>
      </c>
      <c r="L12" s="21">
        <f t="shared" si="8"/>
        <v>-2.7057590661225619E-2</v>
      </c>
    </row>
    <row r="13" spans="1:12" x14ac:dyDescent="0.3">
      <c r="A13" s="13">
        <v>46173</v>
      </c>
      <c r="B13" s="20">
        <v>39</v>
      </c>
      <c r="C13" s="17">
        <f>FORECAST(B13,Model_PnL!$C$7:$C$42,Model_PnL!$B$7:$B$42)</f>
        <v>10089899.669783656</v>
      </c>
      <c r="D13" s="21">
        <f t="shared" si="0"/>
        <v>-0.06</v>
      </c>
      <c r="E13" s="17">
        <f t="shared" si="1"/>
        <v>9484505.6895966362</v>
      </c>
      <c r="F13" s="17">
        <f t="shared" si="2"/>
        <v>6253384.6989806397</v>
      </c>
      <c r="G13" s="17">
        <f t="shared" si="3"/>
        <v>1327830.7965435293</v>
      </c>
      <c r="H13" s="17">
        <f t="shared" si="4"/>
        <v>1044857.6948644667</v>
      </c>
      <c r="I13" s="17">
        <f t="shared" si="5"/>
        <v>1108317.0027075179</v>
      </c>
      <c r="J13" s="17">
        <f t="shared" si="6"/>
        <v>-249884.50349951733</v>
      </c>
      <c r="K13" s="21">
        <f t="shared" si="7"/>
        <v>0.3406736309052088</v>
      </c>
      <c r="L13" s="21">
        <f t="shared" si="8"/>
        <v>-2.634660273055776E-2</v>
      </c>
    </row>
    <row r="14" spans="1:12" x14ac:dyDescent="0.3">
      <c r="A14" s="13">
        <v>46203</v>
      </c>
      <c r="B14" s="20">
        <v>40</v>
      </c>
      <c r="C14" s="17">
        <f>FORECAST(B14,Model_PnL!$C$7:$C$42,Model_PnL!$B$7:$B$42)</f>
        <v>10193376.206733424</v>
      </c>
      <c r="D14" s="21">
        <f t="shared" si="0"/>
        <v>-0.06</v>
      </c>
      <c r="E14" s="17">
        <f t="shared" si="1"/>
        <v>9581773.6343294177</v>
      </c>
      <c r="F14" s="17">
        <f t="shared" si="2"/>
        <v>6317516.019810617</v>
      </c>
      <c r="G14" s="17">
        <f t="shared" si="3"/>
        <v>1341448.3088061186</v>
      </c>
      <c r="H14" s="17">
        <f t="shared" si="4"/>
        <v>1052388.3220907082</v>
      </c>
      <c r="I14" s="17">
        <f t="shared" si="5"/>
        <v>1116305.0016828026</v>
      </c>
      <c r="J14" s="17">
        <f t="shared" si="6"/>
        <v>-245884.01806082856</v>
      </c>
      <c r="K14" s="21">
        <f t="shared" si="7"/>
        <v>0.3406736309052088</v>
      </c>
      <c r="L14" s="21">
        <f t="shared" si="8"/>
        <v>-2.5661639216760394E-2</v>
      </c>
    </row>
    <row r="15" spans="1:12" x14ac:dyDescent="0.3">
      <c r="A15" s="13">
        <v>46234</v>
      </c>
      <c r="B15" s="20">
        <v>41</v>
      </c>
      <c r="C15" s="17">
        <f>FORECAST(B15,Model_PnL!$C$7:$C$42,Model_PnL!$B$7:$B$42)</f>
        <v>10296852.743683193</v>
      </c>
      <c r="D15" s="21">
        <f t="shared" si="0"/>
        <v>-0.06</v>
      </c>
      <c r="E15" s="17">
        <f t="shared" si="1"/>
        <v>9679041.5790622011</v>
      </c>
      <c r="F15" s="17">
        <f t="shared" si="2"/>
        <v>6381647.3406405961</v>
      </c>
      <c r="G15" s="17">
        <f t="shared" si="3"/>
        <v>1355065.8210687083</v>
      </c>
      <c r="H15" s="17">
        <f t="shared" si="4"/>
        <v>1059973.2249821424</v>
      </c>
      <c r="I15" s="17">
        <f t="shared" si="5"/>
        <v>1124350.5727493509</v>
      </c>
      <c r="J15" s="17">
        <f t="shared" si="6"/>
        <v>-241995.38037859672</v>
      </c>
      <c r="K15" s="21">
        <f t="shared" si="7"/>
        <v>0.3406736309052088</v>
      </c>
      <c r="L15" s="21">
        <f t="shared" si="8"/>
        <v>-2.5001998224915525E-2</v>
      </c>
    </row>
    <row r="16" spans="1:12" x14ac:dyDescent="0.3">
      <c r="A16" s="13">
        <v>46265</v>
      </c>
      <c r="B16" s="20">
        <v>42</v>
      </c>
      <c r="C16" s="17">
        <f>FORECAST(B16,Model_PnL!$C$7:$C$42,Model_PnL!$B$7:$B$42)</f>
        <v>10400329.280632962</v>
      </c>
      <c r="D16" s="21">
        <f t="shared" si="0"/>
        <v>-0.06</v>
      </c>
      <c r="E16" s="17">
        <f t="shared" si="1"/>
        <v>9776309.5237949826</v>
      </c>
      <c r="F16" s="17">
        <f t="shared" si="2"/>
        <v>6445778.6614705734</v>
      </c>
      <c r="G16" s="17">
        <f t="shared" si="3"/>
        <v>1368683.3333312976</v>
      </c>
      <c r="H16" s="17">
        <f t="shared" si="4"/>
        <v>1067612.7947210369</v>
      </c>
      <c r="I16" s="17">
        <f t="shared" si="5"/>
        <v>1132454.1308478389</v>
      </c>
      <c r="J16" s="17">
        <f t="shared" si="6"/>
        <v>-238219.39657576429</v>
      </c>
      <c r="K16" s="21">
        <f t="shared" si="7"/>
        <v>0.3406736309052088</v>
      </c>
      <c r="L16" s="21">
        <f t="shared" si="8"/>
        <v>-2.4367006383743457E-2</v>
      </c>
    </row>
    <row r="17" spans="1:12" x14ac:dyDescent="0.3">
      <c r="A17" s="13">
        <v>46295</v>
      </c>
      <c r="B17" s="20">
        <v>43</v>
      </c>
      <c r="C17" s="17">
        <f>FORECAST(B17,Model_PnL!$C$7:$C$42,Model_PnL!$B$7:$B$42)</f>
        <v>10503805.81758273</v>
      </c>
      <c r="D17" s="21">
        <f t="shared" si="0"/>
        <v>-0.06</v>
      </c>
      <c r="E17" s="17">
        <f t="shared" si="1"/>
        <v>9873577.4685277659</v>
      </c>
      <c r="F17" s="17">
        <f t="shared" si="2"/>
        <v>6509909.9823005525</v>
      </c>
      <c r="G17" s="17">
        <f t="shared" si="3"/>
        <v>1382300.8455938874</v>
      </c>
      <c r="H17" s="17">
        <f t="shared" si="4"/>
        <v>1075307.4253090357</v>
      </c>
      <c r="I17" s="17">
        <f t="shared" si="5"/>
        <v>1140616.093909554</v>
      </c>
      <c r="J17" s="17">
        <f t="shared" si="6"/>
        <v>-234556.87858526362</v>
      </c>
      <c r="K17" s="21">
        <f t="shared" si="7"/>
        <v>0.3406736309052088</v>
      </c>
      <c r="L17" s="21">
        <f t="shared" si="8"/>
        <v>-2.3756017444833806E-2</v>
      </c>
    </row>
    <row r="18" spans="1:12" x14ac:dyDescent="0.3">
      <c r="A18" s="13">
        <v>46326</v>
      </c>
      <c r="B18" s="20">
        <v>44</v>
      </c>
      <c r="C18" s="17">
        <f>FORECAST(B18,Model_PnL!$C$7:$C$42,Model_PnL!$B$7:$B$42)</f>
        <v>10607282.354532499</v>
      </c>
      <c r="D18" s="21">
        <f t="shared" si="0"/>
        <v>-0.06</v>
      </c>
      <c r="E18" s="17">
        <f t="shared" si="1"/>
        <v>9970845.4132605474</v>
      </c>
      <c r="F18" s="17">
        <f t="shared" si="2"/>
        <v>6574041.3031305298</v>
      </c>
      <c r="G18" s="17">
        <f t="shared" si="3"/>
        <v>1395918.3578564767</v>
      </c>
      <c r="H18" s="17">
        <f t="shared" si="4"/>
        <v>1083057.5135874804</v>
      </c>
      <c r="I18" s="17">
        <f t="shared" si="5"/>
        <v>1148836.8828779489</v>
      </c>
      <c r="J18" s="17">
        <f t="shared" si="6"/>
        <v>-231008.64419188839</v>
      </c>
      <c r="K18" s="21">
        <f t="shared" si="7"/>
        <v>0.3406736309052088</v>
      </c>
      <c r="L18" s="21">
        <f t="shared" si="8"/>
        <v>-2.3168410963895054E-2</v>
      </c>
    </row>
    <row r="19" spans="1:12" x14ac:dyDescent="0.3">
      <c r="A19" s="13">
        <v>46356</v>
      </c>
      <c r="B19" s="20">
        <v>45</v>
      </c>
      <c r="C19" s="17">
        <f>FORECAST(B19,Model_PnL!$C$7:$C$42,Model_PnL!$B$7:$B$42)</f>
        <v>10710758.891482269</v>
      </c>
      <c r="D19" s="21">
        <f t="shared" si="0"/>
        <v>-0.06</v>
      </c>
      <c r="E19" s="17">
        <f t="shared" si="1"/>
        <v>10068113.357993333</v>
      </c>
      <c r="F19" s="17">
        <f t="shared" si="2"/>
        <v>6638172.6239605099</v>
      </c>
      <c r="G19" s="17">
        <f t="shared" si="3"/>
        <v>1409535.8701190667</v>
      </c>
      <c r="H19" s="17">
        <f t="shared" si="4"/>
        <v>1090863.4592578765</v>
      </c>
      <c r="I19" s="17">
        <f t="shared" si="5"/>
        <v>1157116.921730353</v>
      </c>
      <c r="J19" s="17">
        <f t="shared" si="6"/>
        <v>-227575.51707447344</v>
      </c>
      <c r="K19" s="21">
        <f t="shared" si="7"/>
        <v>0.3406736309052088</v>
      </c>
      <c r="L19" s="21">
        <f t="shared" si="8"/>
        <v>-2.2603591058477247E-2</v>
      </c>
    </row>
    <row r="20" spans="1:12" x14ac:dyDescent="0.3">
      <c r="A20" s="13">
        <v>46387</v>
      </c>
      <c r="B20" s="20">
        <v>46</v>
      </c>
      <c r="C20" s="17">
        <f>FORECAST(B20,Model_PnL!$C$7:$C$42,Model_PnL!$B$7:$B$42)</f>
        <v>10814235.428432038</v>
      </c>
      <c r="D20" s="21">
        <f t="shared" si="0"/>
        <v>-0.06</v>
      </c>
      <c r="E20" s="17">
        <f t="shared" si="1"/>
        <v>10165381.302726116</v>
      </c>
      <c r="F20" s="17">
        <f t="shared" si="2"/>
        <v>6702303.944790489</v>
      </c>
      <c r="G20" s="17">
        <f t="shared" si="3"/>
        <v>1423153.3823816564</v>
      </c>
      <c r="H20" s="17">
        <f t="shared" si="4"/>
        <v>1098725.6649025073</v>
      </c>
      <c r="I20" s="17">
        <f t="shared" si="5"/>
        <v>1165456.6374998365</v>
      </c>
      <c r="J20" s="17">
        <f t="shared" si="6"/>
        <v>-224258.32684837328</v>
      </c>
      <c r="K20" s="21">
        <f t="shared" si="7"/>
        <v>0.3406736309052088</v>
      </c>
      <c r="L20" s="21">
        <f t="shared" si="8"/>
        <v>-2.2060985237044917E-2</v>
      </c>
    </row>
    <row r="21" spans="1:12" x14ac:dyDescent="0.3">
      <c r="A21" s="13">
        <v>46418</v>
      </c>
      <c r="B21" s="20">
        <v>47</v>
      </c>
      <c r="C21" s="17">
        <f>FORECAST(B21,Model_PnL!$C$7:$C$42,Model_PnL!$B$7:$B$42)</f>
        <v>10917711.965381807</v>
      </c>
      <c r="D21" s="21">
        <f t="shared" si="0"/>
        <v>-0.06</v>
      </c>
      <c r="E21" s="17">
        <f t="shared" si="1"/>
        <v>10262649.247458898</v>
      </c>
      <c r="F21" s="17">
        <f t="shared" si="2"/>
        <v>6766435.2656204663</v>
      </c>
      <c r="G21" s="17">
        <f t="shared" si="3"/>
        <v>1436770.8946442457</v>
      </c>
      <c r="H21" s="17">
        <f t="shared" si="4"/>
        <v>1106644.5360051969</v>
      </c>
      <c r="I21" s="17">
        <f t="shared" si="5"/>
        <v>1173856.4602972353</v>
      </c>
      <c r="J21" s="17">
        <f t="shared" si="6"/>
        <v>-221057.90910824668</v>
      </c>
      <c r="K21" s="21">
        <f t="shared" si="7"/>
        <v>0.3406736309052088</v>
      </c>
      <c r="L21" s="21">
        <f t="shared" si="8"/>
        <v>-2.1540043294667032E-2</v>
      </c>
    </row>
    <row r="22" spans="1:12" x14ac:dyDescent="0.3">
      <c r="A22" s="13">
        <v>46446</v>
      </c>
      <c r="B22" s="20">
        <v>48</v>
      </c>
      <c r="C22" s="17">
        <f>FORECAST(B22,Model_PnL!$C$7:$C$42,Model_PnL!$B$7:$B$42)</f>
        <v>11021188.502331575</v>
      </c>
      <c r="D22" s="21">
        <f t="shared" si="0"/>
        <v>-0.06</v>
      </c>
      <c r="E22" s="17">
        <f t="shared" si="1"/>
        <v>10359917.192191681</v>
      </c>
      <c r="F22" s="17">
        <f t="shared" si="2"/>
        <v>6830566.5864504455</v>
      </c>
      <c r="G22" s="17">
        <f t="shared" si="3"/>
        <v>1450388.4069068355</v>
      </c>
      <c r="H22" s="17">
        <f t="shared" si="4"/>
        <v>1114620.4809722225</v>
      </c>
      <c r="I22" s="17">
        <f t="shared" si="5"/>
        <v>1182316.8233333332</v>
      </c>
      <c r="J22" s="17">
        <f t="shared" si="6"/>
        <v>-217975.10547115584</v>
      </c>
      <c r="K22" s="21">
        <f t="shared" si="7"/>
        <v>0.3406736309052088</v>
      </c>
      <c r="L22" s="21">
        <f t="shared" si="8"/>
        <v>-2.1040236270946713E-2</v>
      </c>
    </row>
  </sheetData>
  <mergeCells count="2">
    <mergeCell ref="C4:E8"/>
    <mergeCell ref="A1:L2"/>
  </mergeCells>
  <conditionalFormatting sqref="L11:L22">
    <cfRule type="cellIs" dxfId="0" priority="1" operator="lessThan">
      <formula>0.08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97"/>
  <sheetViews>
    <sheetView showGridLines="0" topLeftCell="H1" workbookViewId="0">
      <selection activeCell="M1" sqref="M1"/>
    </sheetView>
  </sheetViews>
  <sheetFormatPr defaultRowHeight="14.4" x14ac:dyDescent="0.3"/>
  <cols>
    <col min="1" max="2" width="10" customWidth="1"/>
    <col min="3" max="3" width="16" customWidth="1"/>
    <col min="4" max="4" width="12" customWidth="1"/>
    <col min="5" max="5" width="14" customWidth="1"/>
    <col min="6" max="6" width="10" customWidth="1"/>
    <col min="7" max="7" width="11" customWidth="1"/>
    <col min="8" max="8" width="10" customWidth="1"/>
    <col min="9" max="9" width="9" customWidth="1"/>
    <col min="10" max="10" width="11" customWidth="1"/>
    <col min="11" max="11" width="9" customWidth="1"/>
    <col min="12" max="12" width="13" customWidth="1"/>
    <col min="13" max="13" width="9" customWidth="1"/>
    <col min="14" max="14" width="13" customWidth="1"/>
    <col min="15" max="15" width="12" customWidth="1"/>
    <col min="16" max="16" width="11" customWidth="1"/>
    <col min="17" max="19" width="12" customWidth="1"/>
    <col min="20" max="20" width="14" customWidth="1"/>
  </cols>
  <sheetData>
    <row r="1" spans="1:20" ht="28.95" customHeight="1" x14ac:dyDescent="0.3">
      <c r="A1" s="12" t="s">
        <v>88</v>
      </c>
      <c r="B1" s="12" t="s">
        <v>58</v>
      </c>
      <c r="C1" s="12" t="s">
        <v>21</v>
      </c>
      <c r="D1" s="12" t="s">
        <v>89</v>
      </c>
      <c r="E1" s="12" t="s">
        <v>23</v>
      </c>
      <c r="F1" s="12" t="s">
        <v>90</v>
      </c>
      <c r="G1" s="12" t="s">
        <v>91</v>
      </c>
      <c r="H1" s="12" t="s">
        <v>92</v>
      </c>
      <c r="I1" s="12" t="s">
        <v>93</v>
      </c>
      <c r="J1" s="12" t="s">
        <v>94</v>
      </c>
      <c r="K1" s="12" t="s">
        <v>95</v>
      </c>
      <c r="L1" s="12" t="s">
        <v>96</v>
      </c>
      <c r="M1" s="12" t="s">
        <v>97</v>
      </c>
      <c r="N1" s="12" t="s">
        <v>98</v>
      </c>
      <c r="O1" s="12" t="s">
        <v>99</v>
      </c>
      <c r="P1" s="12" t="s">
        <v>100</v>
      </c>
      <c r="Q1" s="12" t="s">
        <v>60</v>
      </c>
      <c r="R1" s="12" t="s">
        <v>61</v>
      </c>
      <c r="S1" s="12" t="s">
        <v>62</v>
      </c>
      <c r="T1" s="12" t="s">
        <v>64</v>
      </c>
    </row>
    <row r="2" spans="1:20" x14ac:dyDescent="0.3">
      <c r="A2" s="13">
        <v>45016</v>
      </c>
      <c r="B2" s="7" t="s">
        <v>101</v>
      </c>
      <c r="C2" s="7" t="s">
        <v>24</v>
      </c>
      <c r="D2" s="7" t="s">
        <v>102</v>
      </c>
      <c r="E2" s="7" t="s">
        <v>25</v>
      </c>
      <c r="F2" s="14">
        <v>6104</v>
      </c>
      <c r="G2" s="15">
        <v>119.3</v>
      </c>
      <c r="H2" s="16">
        <v>5.7892767387457383E-2</v>
      </c>
      <c r="I2" s="16">
        <v>5.5792128155073922E-2</v>
      </c>
      <c r="J2" s="15">
        <v>71.61</v>
      </c>
      <c r="K2" s="14">
        <v>4319</v>
      </c>
      <c r="L2" s="14">
        <v>1791</v>
      </c>
      <c r="M2" s="15">
        <v>29.3</v>
      </c>
      <c r="N2" s="17">
        <v>728207.2</v>
      </c>
      <c r="O2" s="17">
        <v>42157.930039471648</v>
      </c>
      <c r="P2" s="17">
        <v>38276.1487903327</v>
      </c>
      <c r="Q2" s="17">
        <v>647773.12117019563</v>
      </c>
      <c r="R2" s="17">
        <v>437107.44</v>
      </c>
      <c r="S2" s="17">
        <v>210665.6811701956</v>
      </c>
      <c r="T2" s="17">
        <v>52476.3</v>
      </c>
    </row>
    <row r="3" spans="1:20" x14ac:dyDescent="0.3">
      <c r="A3" s="13">
        <v>45016</v>
      </c>
      <c r="B3" s="7" t="s">
        <v>101</v>
      </c>
      <c r="C3" s="7" t="s">
        <v>24</v>
      </c>
      <c r="D3" s="7" t="s">
        <v>102</v>
      </c>
      <c r="E3" s="7" t="s">
        <v>28</v>
      </c>
      <c r="F3" s="14">
        <v>3136</v>
      </c>
      <c r="G3" s="15">
        <v>113.48</v>
      </c>
      <c r="H3" s="16">
        <v>6.4170716697119726E-2</v>
      </c>
      <c r="I3" s="16">
        <v>3.4126232512304497E-2</v>
      </c>
      <c r="J3" s="15">
        <v>68.819999999999993</v>
      </c>
      <c r="K3" s="14">
        <v>2565</v>
      </c>
      <c r="L3" s="14">
        <v>748</v>
      </c>
      <c r="M3" s="15">
        <v>14.72</v>
      </c>
      <c r="N3" s="17">
        <v>355873.28000000003</v>
      </c>
      <c r="O3" s="17">
        <v>22836.643430954769</v>
      </c>
      <c r="P3" s="17">
        <v>11365.285694671091</v>
      </c>
      <c r="Q3" s="17">
        <v>321671.35087437421</v>
      </c>
      <c r="R3" s="17">
        <v>215819.51999999999</v>
      </c>
      <c r="S3" s="17">
        <v>105851.83087437419</v>
      </c>
      <c r="T3" s="17">
        <v>11010.56</v>
      </c>
    </row>
    <row r="4" spans="1:20" x14ac:dyDescent="0.3">
      <c r="A4" s="13">
        <v>45016</v>
      </c>
      <c r="B4" s="7" t="s">
        <v>101</v>
      </c>
      <c r="C4" s="7" t="s">
        <v>24</v>
      </c>
      <c r="D4" s="7" t="s">
        <v>102</v>
      </c>
      <c r="E4" s="7" t="s">
        <v>30</v>
      </c>
      <c r="F4" s="14">
        <v>2408</v>
      </c>
      <c r="G4" s="15">
        <v>102.01</v>
      </c>
      <c r="H4" s="16">
        <v>3.8645342197080788E-2</v>
      </c>
      <c r="I4" s="16">
        <v>2.0337641023439618E-2</v>
      </c>
      <c r="J4" s="15">
        <v>67.010000000000005</v>
      </c>
      <c r="K4" s="14">
        <v>193</v>
      </c>
      <c r="L4" s="14">
        <v>11</v>
      </c>
      <c r="M4" s="15">
        <v>4.51</v>
      </c>
      <c r="N4" s="17">
        <v>245640.08</v>
      </c>
      <c r="O4" s="17">
        <v>9492.8449489183004</v>
      </c>
      <c r="P4" s="17">
        <v>4802.6776951467182</v>
      </c>
      <c r="Q4" s="17">
        <v>231344.55735593499</v>
      </c>
      <c r="R4" s="17">
        <v>161360.07999999999</v>
      </c>
      <c r="S4" s="17">
        <v>69984.477355934971</v>
      </c>
      <c r="T4" s="17">
        <v>49.61</v>
      </c>
    </row>
    <row r="5" spans="1:20" x14ac:dyDescent="0.3">
      <c r="A5" s="13">
        <v>45016</v>
      </c>
      <c r="B5" s="7" t="s">
        <v>101</v>
      </c>
      <c r="C5" s="7" t="s">
        <v>24</v>
      </c>
      <c r="D5" s="7" t="s">
        <v>103</v>
      </c>
      <c r="E5" s="7" t="s">
        <v>25</v>
      </c>
      <c r="F5" s="14">
        <v>2902</v>
      </c>
      <c r="G5" s="15">
        <v>216.7</v>
      </c>
      <c r="H5" s="16">
        <v>5.7374756251860511E-2</v>
      </c>
      <c r="I5" s="16">
        <v>3.3982933877706033E-2</v>
      </c>
      <c r="J5" s="15">
        <v>126.67</v>
      </c>
      <c r="K5" s="14">
        <v>1909</v>
      </c>
      <c r="L5" s="14">
        <v>742</v>
      </c>
      <c r="M5" s="15">
        <v>31.92</v>
      </c>
      <c r="N5" s="17">
        <v>628863.4</v>
      </c>
      <c r="O5" s="17">
        <v>36080.884290716262</v>
      </c>
      <c r="P5" s="17">
        <v>20144.48903520883</v>
      </c>
      <c r="Q5" s="17">
        <v>572638.02667407494</v>
      </c>
      <c r="R5" s="17">
        <v>367596.34</v>
      </c>
      <c r="S5" s="17">
        <v>205041.68667407491</v>
      </c>
      <c r="T5" s="17">
        <v>23684.639999999999</v>
      </c>
    </row>
    <row r="6" spans="1:20" x14ac:dyDescent="0.3">
      <c r="A6" s="13">
        <v>45016</v>
      </c>
      <c r="B6" s="7" t="s">
        <v>101</v>
      </c>
      <c r="C6" s="7" t="s">
        <v>24</v>
      </c>
      <c r="D6" s="7" t="s">
        <v>103</v>
      </c>
      <c r="E6" s="7" t="s">
        <v>28</v>
      </c>
      <c r="F6" s="14">
        <v>1069</v>
      </c>
      <c r="G6" s="15">
        <v>207.88</v>
      </c>
      <c r="H6" s="16">
        <v>6.3544453327623027E-2</v>
      </c>
      <c r="I6" s="16">
        <v>4.0077209266523528E-2</v>
      </c>
      <c r="J6" s="15">
        <v>120.71</v>
      </c>
      <c r="K6" s="14">
        <v>920</v>
      </c>
      <c r="L6" s="14">
        <v>256</v>
      </c>
      <c r="M6" s="15">
        <v>20.39</v>
      </c>
      <c r="N6" s="17">
        <v>222223.72</v>
      </c>
      <c r="O6" s="17">
        <v>14121.08480383077</v>
      </c>
      <c r="P6" s="17">
        <v>8340.1728596718804</v>
      </c>
      <c r="Q6" s="17">
        <v>199762.46233649741</v>
      </c>
      <c r="R6" s="17">
        <v>129038.99</v>
      </c>
      <c r="S6" s="17">
        <v>70723.472336497362</v>
      </c>
      <c r="T6" s="17">
        <v>5219.84</v>
      </c>
    </row>
    <row r="7" spans="1:20" x14ac:dyDescent="0.3">
      <c r="A7" s="13">
        <v>45016</v>
      </c>
      <c r="B7" s="7" t="s">
        <v>101</v>
      </c>
      <c r="C7" s="7" t="s">
        <v>24</v>
      </c>
      <c r="D7" s="7" t="s">
        <v>103</v>
      </c>
      <c r="E7" s="7" t="s">
        <v>30</v>
      </c>
      <c r="F7" s="14">
        <v>1067</v>
      </c>
      <c r="G7" s="15">
        <v>173.73</v>
      </c>
      <c r="H7" s="16">
        <v>3.568093474963175E-2</v>
      </c>
      <c r="I7" s="16">
        <v>1.7696806145201058E-2</v>
      </c>
      <c r="J7" s="15">
        <v>123.81</v>
      </c>
      <c r="K7" s="14">
        <v>89</v>
      </c>
      <c r="L7" s="14">
        <v>5</v>
      </c>
      <c r="M7" s="15">
        <v>5.31</v>
      </c>
      <c r="N7" s="17">
        <v>185369.91</v>
      </c>
      <c r="O7" s="17">
        <v>6614.1716632551097</v>
      </c>
      <c r="P7" s="17">
        <v>3163.4056486876598</v>
      </c>
      <c r="Q7" s="17">
        <v>175592.33268805721</v>
      </c>
      <c r="R7" s="17">
        <v>132105.26999999999</v>
      </c>
      <c r="S7" s="17">
        <v>43487.062688057253</v>
      </c>
      <c r="T7" s="17">
        <v>26.55</v>
      </c>
    </row>
    <row r="8" spans="1:20" x14ac:dyDescent="0.3">
      <c r="A8" s="13">
        <v>45016</v>
      </c>
      <c r="B8" s="7" t="s">
        <v>101</v>
      </c>
      <c r="C8" s="7" t="s">
        <v>24</v>
      </c>
      <c r="D8" s="7" t="s">
        <v>104</v>
      </c>
      <c r="E8" s="7" t="s">
        <v>25</v>
      </c>
      <c r="F8" s="14">
        <v>1657</v>
      </c>
      <c r="G8" s="15">
        <v>44.24</v>
      </c>
      <c r="H8" s="16">
        <v>6.5505086599567802E-2</v>
      </c>
      <c r="I8" s="16">
        <v>5.0309995224959513E-2</v>
      </c>
      <c r="J8" s="15">
        <v>22.61</v>
      </c>
      <c r="K8" s="14">
        <v>1158</v>
      </c>
      <c r="L8" s="14">
        <v>430</v>
      </c>
      <c r="M8" s="15">
        <v>27.17</v>
      </c>
      <c r="N8" s="17">
        <v>73305.680000000008</v>
      </c>
      <c r="O8" s="17">
        <v>4801.8949166402062</v>
      </c>
      <c r="P8" s="17">
        <v>3446.4251004354851</v>
      </c>
      <c r="Q8" s="17">
        <v>65057.359982924318</v>
      </c>
      <c r="R8" s="17">
        <v>37464.769999999997</v>
      </c>
      <c r="S8" s="17">
        <v>27592.589982924321</v>
      </c>
      <c r="T8" s="17">
        <v>11683.1</v>
      </c>
    </row>
    <row r="9" spans="1:20" x14ac:dyDescent="0.3">
      <c r="A9" s="13">
        <v>45016</v>
      </c>
      <c r="B9" s="7" t="s">
        <v>101</v>
      </c>
      <c r="C9" s="7" t="s">
        <v>24</v>
      </c>
      <c r="D9" s="7" t="s">
        <v>104</v>
      </c>
      <c r="E9" s="7" t="s">
        <v>28</v>
      </c>
      <c r="F9" s="14">
        <v>978</v>
      </c>
      <c r="G9" s="15">
        <v>41.79</v>
      </c>
      <c r="H9" s="16">
        <v>8.749360381503847E-2</v>
      </c>
      <c r="I9" s="16">
        <v>4.3404975389909582E-2</v>
      </c>
      <c r="J9" s="15">
        <v>21.21</v>
      </c>
      <c r="K9" s="14">
        <v>826</v>
      </c>
      <c r="L9" s="14">
        <v>262</v>
      </c>
      <c r="M9" s="15">
        <v>20.63</v>
      </c>
      <c r="N9" s="17">
        <v>40870.620000000003</v>
      </c>
      <c r="O9" s="17">
        <v>3575.9178339549881</v>
      </c>
      <c r="P9" s="17">
        <v>1618.7756296911909</v>
      </c>
      <c r="Q9" s="17">
        <v>35675.926536353822</v>
      </c>
      <c r="R9" s="17">
        <v>20743.38</v>
      </c>
      <c r="S9" s="17">
        <v>14932.546536353821</v>
      </c>
      <c r="T9" s="17">
        <v>5405.0599999999986</v>
      </c>
    </row>
    <row r="10" spans="1:20" x14ac:dyDescent="0.3">
      <c r="A10" s="13">
        <v>45016</v>
      </c>
      <c r="B10" s="7" t="s">
        <v>101</v>
      </c>
      <c r="C10" s="7" t="s">
        <v>24</v>
      </c>
      <c r="D10" s="7" t="s">
        <v>104</v>
      </c>
      <c r="E10" s="7" t="s">
        <v>30</v>
      </c>
      <c r="F10" s="14">
        <v>1056</v>
      </c>
      <c r="G10" s="15">
        <v>37.229999999999997</v>
      </c>
      <c r="H10" s="16">
        <v>3.6129281472369247E-2</v>
      </c>
      <c r="I10" s="16">
        <v>2.180697802754207E-2</v>
      </c>
      <c r="J10" s="15">
        <v>23.02</v>
      </c>
      <c r="K10" s="14">
        <v>88</v>
      </c>
      <c r="L10" s="14">
        <v>6</v>
      </c>
      <c r="M10" s="15">
        <v>4.97</v>
      </c>
      <c r="N10" s="17">
        <v>39314.879999999997</v>
      </c>
      <c r="O10" s="17">
        <v>1420.41836557242</v>
      </c>
      <c r="P10" s="17">
        <v>826.36369222749818</v>
      </c>
      <c r="Q10" s="17">
        <v>37068.097942200082</v>
      </c>
      <c r="R10" s="17">
        <v>24309.119999999999</v>
      </c>
      <c r="S10" s="17">
        <v>12758.977942200079</v>
      </c>
      <c r="T10" s="17">
        <v>29.82</v>
      </c>
    </row>
    <row r="11" spans="1:20" x14ac:dyDescent="0.3">
      <c r="A11" s="13">
        <v>45016</v>
      </c>
      <c r="B11" s="7" t="s">
        <v>101</v>
      </c>
      <c r="C11" s="7" t="s">
        <v>27</v>
      </c>
      <c r="D11" s="7" t="s">
        <v>102</v>
      </c>
      <c r="E11" s="7" t="s">
        <v>25</v>
      </c>
      <c r="F11" s="14">
        <v>5806</v>
      </c>
      <c r="G11" s="15">
        <v>129.88</v>
      </c>
      <c r="H11" s="16">
        <v>5.7308933845807188E-2</v>
      </c>
      <c r="I11" s="16">
        <v>4.0917607765355017E-2</v>
      </c>
      <c r="J11" s="15">
        <v>68.459999999999994</v>
      </c>
      <c r="K11" s="14">
        <v>3585</v>
      </c>
      <c r="L11" s="14">
        <v>1429</v>
      </c>
      <c r="M11" s="15">
        <v>30.73</v>
      </c>
      <c r="N11" s="17">
        <v>754083.28</v>
      </c>
      <c r="O11" s="17">
        <v>43215.708807749303</v>
      </c>
      <c r="P11" s="17">
        <v>29087.000451155101</v>
      </c>
      <c r="Q11" s="17">
        <v>681780.57074109558</v>
      </c>
      <c r="R11" s="17">
        <v>397478.76</v>
      </c>
      <c r="S11" s="17">
        <v>284301.81074109563</v>
      </c>
      <c r="T11" s="17">
        <v>43913.17</v>
      </c>
    </row>
    <row r="12" spans="1:20" x14ac:dyDescent="0.3">
      <c r="A12" s="13">
        <v>45016</v>
      </c>
      <c r="B12" s="7" t="s">
        <v>101</v>
      </c>
      <c r="C12" s="7" t="s">
        <v>27</v>
      </c>
      <c r="D12" s="7" t="s">
        <v>102</v>
      </c>
      <c r="E12" s="7" t="s">
        <v>28</v>
      </c>
      <c r="F12" s="14">
        <v>2123</v>
      </c>
      <c r="G12" s="15">
        <v>119.36</v>
      </c>
      <c r="H12" s="16">
        <v>8.3226279911608761E-2</v>
      </c>
      <c r="I12" s="16">
        <v>7.3731031765531113E-2</v>
      </c>
      <c r="J12" s="15">
        <v>73.52</v>
      </c>
      <c r="K12" s="14">
        <v>1874</v>
      </c>
      <c r="L12" s="14">
        <v>545</v>
      </c>
      <c r="M12" s="15">
        <v>16.28</v>
      </c>
      <c r="N12" s="17">
        <v>253401.28</v>
      </c>
      <c r="O12" s="17">
        <v>21089.64585923995</v>
      </c>
      <c r="P12" s="17">
        <v>17128.57647633482</v>
      </c>
      <c r="Q12" s="17">
        <v>215183.0576644252</v>
      </c>
      <c r="R12" s="17">
        <v>156082.96</v>
      </c>
      <c r="S12" s="17">
        <v>59100.097664425237</v>
      </c>
      <c r="T12" s="17">
        <v>8872.6</v>
      </c>
    </row>
    <row r="13" spans="1:20" x14ac:dyDescent="0.3">
      <c r="A13" s="13">
        <v>45016</v>
      </c>
      <c r="B13" s="7" t="s">
        <v>101</v>
      </c>
      <c r="C13" s="7" t="s">
        <v>27</v>
      </c>
      <c r="D13" s="7" t="s">
        <v>102</v>
      </c>
      <c r="E13" s="7" t="s">
        <v>30</v>
      </c>
      <c r="F13" s="14">
        <v>1747</v>
      </c>
      <c r="G13" s="15">
        <v>104.41</v>
      </c>
      <c r="H13" s="16">
        <v>3.8034027120413393E-2</v>
      </c>
      <c r="I13" s="16">
        <v>1.8039459234339209E-2</v>
      </c>
      <c r="J13" s="15">
        <v>69.599999999999994</v>
      </c>
      <c r="K13" s="14">
        <v>146</v>
      </c>
      <c r="L13" s="14">
        <v>9</v>
      </c>
      <c r="M13" s="15">
        <v>5.27</v>
      </c>
      <c r="N13" s="17">
        <v>182404.27</v>
      </c>
      <c r="O13" s="17">
        <v>6937.5689520592068</v>
      </c>
      <c r="P13" s="17">
        <v>3165.324400538314</v>
      </c>
      <c r="Q13" s="17">
        <v>172301.3766474025</v>
      </c>
      <c r="R13" s="17">
        <v>121591.2</v>
      </c>
      <c r="S13" s="17">
        <v>50710.176647402477</v>
      </c>
      <c r="T13" s="17">
        <v>47.429999999999993</v>
      </c>
    </row>
    <row r="14" spans="1:20" x14ac:dyDescent="0.3">
      <c r="A14" s="13">
        <v>45016</v>
      </c>
      <c r="B14" s="7" t="s">
        <v>101</v>
      </c>
      <c r="C14" s="7" t="s">
        <v>27</v>
      </c>
      <c r="D14" s="7" t="s">
        <v>103</v>
      </c>
      <c r="E14" s="7" t="s">
        <v>25</v>
      </c>
      <c r="F14" s="14">
        <v>2087</v>
      </c>
      <c r="G14" s="15">
        <v>229.19</v>
      </c>
      <c r="H14" s="16">
        <v>5.6214192095111769E-2</v>
      </c>
      <c r="I14" s="16">
        <v>3.6572854834732313E-2</v>
      </c>
      <c r="J14" s="15">
        <v>121.8</v>
      </c>
      <c r="K14" s="14">
        <v>1440</v>
      </c>
      <c r="L14" s="14">
        <v>539</v>
      </c>
      <c r="M14" s="15">
        <v>31.07</v>
      </c>
      <c r="N14" s="17">
        <v>478319.53</v>
      </c>
      <c r="O14" s="17">
        <v>26888.345942263579</v>
      </c>
      <c r="P14" s="17">
        <v>16510.127162414919</v>
      </c>
      <c r="Q14" s="17">
        <v>434921.05689532153</v>
      </c>
      <c r="R14" s="17">
        <v>254196.6</v>
      </c>
      <c r="S14" s="17">
        <v>180724.45689532149</v>
      </c>
      <c r="T14" s="17">
        <v>16746.73</v>
      </c>
    </row>
    <row r="15" spans="1:20" x14ac:dyDescent="0.3">
      <c r="A15" s="13">
        <v>45016</v>
      </c>
      <c r="B15" s="7" t="s">
        <v>101</v>
      </c>
      <c r="C15" s="7" t="s">
        <v>27</v>
      </c>
      <c r="D15" s="7" t="s">
        <v>103</v>
      </c>
      <c r="E15" s="7" t="s">
        <v>28</v>
      </c>
      <c r="F15" s="14">
        <v>973</v>
      </c>
      <c r="G15" s="15">
        <v>224.78</v>
      </c>
      <c r="H15" s="16">
        <v>8.8994980137156732E-2</v>
      </c>
      <c r="I15" s="16">
        <v>3.1218431770514379E-2</v>
      </c>
      <c r="J15" s="15">
        <v>124.7</v>
      </c>
      <c r="K15" s="14">
        <v>872</v>
      </c>
      <c r="L15" s="14">
        <v>264</v>
      </c>
      <c r="M15" s="15">
        <v>18.2</v>
      </c>
      <c r="N15" s="17">
        <v>218710.94</v>
      </c>
      <c r="O15" s="17">
        <v>19464.175761078881</v>
      </c>
      <c r="P15" s="17">
        <v>6220.1715148885232</v>
      </c>
      <c r="Q15" s="17">
        <v>193026.59272403261</v>
      </c>
      <c r="R15" s="17">
        <v>121333.1</v>
      </c>
      <c r="S15" s="17">
        <v>71693.492724032578</v>
      </c>
      <c r="T15" s="17">
        <v>4804.8</v>
      </c>
    </row>
    <row r="16" spans="1:20" x14ac:dyDescent="0.3">
      <c r="A16" s="13">
        <v>45016</v>
      </c>
      <c r="B16" s="7" t="s">
        <v>101</v>
      </c>
      <c r="C16" s="7" t="s">
        <v>27</v>
      </c>
      <c r="D16" s="7" t="s">
        <v>103</v>
      </c>
      <c r="E16" s="7" t="s">
        <v>30</v>
      </c>
      <c r="F16" s="14">
        <v>1128</v>
      </c>
      <c r="G16" s="15">
        <v>194.66</v>
      </c>
      <c r="H16" s="16">
        <v>3.298793177428281E-2</v>
      </c>
      <c r="I16" s="16">
        <v>2.5714114072575098E-2</v>
      </c>
      <c r="J16" s="15">
        <v>127.62</v>
      </c>
      <c r="K16" s="14">
        <v>93</v>
      </c>
      <c r="L16" s="14">
        <v>6</v>
      </c>
      <c r="M16" s="15">
        <v>5.71</v>
      </c>
      <c r="N16" s="17">
        <v>219576.48</v>
      </c>
      <c r="O16" s="17">
        <v>7243.3739414771744</v>
      </c>
      <c r="P16" s="17">
        <v>5459.9577105730432</v>
      </c>
      <c r="Q16" s="17">
        <v>206873.14834794981</v>
      </c>
      <c r="R16" s="17">
        <v>143955.35999999999</v>
      </c>
      <c r="S16" s="17">
        <v>62917.788347949769</v>
      </c>
      <c r="T16" s="17">
        <v>34.26</v>
      </c>
    </row>
    <row r="17" spans="1:20" x14ac:dyDescent="0.3">
      <c r="A17" s="13">
        <v>45016</v>
      </c>
      <c r="B17" s="7" t="s">
        <v>101</v>
      </c>
      <c r="C17" s="7" t="s">
        <v>27</v>
      </c>
      <c r="D17" s="7" t="s">
        <v>104</v>
      </c>
      <c r="E17" s="7" t="s">
        <v>25</v>
      </c>
      <c r="F17" s="14">
        <v>1352</v>
      </c>
      <c r="G17" s="15">
        <v>49.31</v>
      </c>
      <c r="H17" s="16">
        <v>7.97141006322898E-2</v>
      </c>
      <c r="I17" s="16">
        <v>3.0094636748693119E-2</v>
      </c>
      <c r="J17" s="15">
        <v>22.49</v>
      </c>
      <c r="K17" s="14">
        <v>985</v>
      </c>
      <c r="L17" s="14">
        <v>343</v>
      </c>
      <c r="M17" s="15">
        <v>32.57</v>
      </c>
      <c r="N17" s="17">
        <v>66667.12000000001</v>
      </c>
      <c r="O17" s="17">
        <v>5314.3095125449408</v>
      </c>
      <c r="P17" s="17">
        <v>1846.3905451313699</v>
      </c>
      <c r="Q17" s="17">
        <v>59506.419942323701</v>
      </c>
      <c r="R17" s="17">
        <v>30406.48</v>
      </c>
      <c r="S17" s="17">
        <v>29099.939942323701</v>
      </c>
      <c r="T17" s="17">
        <v>11171.51</v>
      </c>
    </row>
    <row r="18" spans="1:20" x14ac:dyDescent="0.3">
      <c r="A18" s="13">
        <v>45016</v>
      </c>
      <c r="B18" s="7" t="s">
        <v>101</v>
      </c>
      <c r="C18" s="7" t="s">
        <v>27</v>
      </c>
      <c r="D18" s="7" t="s">
        <v>104</v>
      </c>
      <c r="E18" s="7" t="s">
        <v>28</v>
      </c>
      <c r="F18" s="14">
        <v>661</v>
      </c>
      <c r="G18" s="15">
        <v>44.47</v>
      </c>
      <c r="H18" s="16">
        <v>9.6393497813574952E-2</v>
      </c>
      <c r="I18" s="16">
        <v>4.6208636486492947E-2</v>
      </c>
      <c r="J18" s="15">
        <v>23.94</v>
      </c>
      <c r="K18" s="14">
        <v>517</v>
      </c>
      <c r="L18" s="14">
        <v>156</v>
      </c>
      <c r="M18" s="15">
        <v>15.46</v>
      </c>
      <c r="N18" s="17">
        <v>29394.67</v>
      </c>
      <c r="O18" s="17">
        <v>2833.4550583757568</v>
      </c>
      <c r="P18" s="17">
        <v>1227.35752587712</v>
      </c>
      <c r="Q18" s="17">
        <v>25333.857415747119</v>
      </c>
      <c r="R18" s="17">
        <v>15824.34</v>
      </c>
      <c r="S18" s="17">
        <v>9509.5174157471192</v>
      </c>
      <c r="T18" s="17">
        <v>2411.7600000000002</v>
      </c>
    </row>
    <row r="19" spans="1:20" x14ac:dyDescent="0.3">
      <c r="A19" s="13">
        <v>45016</v>
      </c>
      <c r="B19" s="7" t="s">
        <v>101</v>
      </c>
      <c r="C19" s="7" t="s">
        <v>27</v>
      </c>
      <c r="D19" s="7" t="s">
        <v>104</v>
      </c>
      <c r="E19" s="7" t="s">
        <v>30</v>
      </c>
      <c r="F19" s="14">
        <v>547</v>
      </c>
      <c r="G19" s="15">
        <v>40.08</v>
      </c>
      <c r="H19" s="16">
        <v>4.7842856525694567E-2</v>
      </c>
      <c r="I19" s="16">
        <v>1.1962583827193859E-2</v>
      </c>
      <c r="J19" s="15">
        <v>23.01</v>
      </c>
      <c r="K19" s="14">
        <v>47</v>
      </c>
      <c r="L19" s="14">
        <v>3</v>
      </c>
      <c r="M19" s="15">
        <v>5.23</v>
      </c>
      <c r="N19" s="17">
        <v>21923.759999999998</v>
      </c>
      <c r="O19" s="17">
        <v>1048.895304183761</v>
      </c>
      <c r="P19" s="17">
        <v>249.7173188050314</v>
      </c>
      <c r="Q19" s="17">
        <v>20625.147377011199</v>
      </c>
      <c r="R19" s="17">
        <v>12586.47</v>
      </c>
      <c r="S19" s="17">
        <v>8038.6773770112013</v>
      </c>
      <c r="T19" s="17">
        <v>15.69</v>
      </c>
    </row>
    <row r="20" spans="1:20" x14ac:dyDescent="0.3">
      <c r="A20" s="13">
        <v>45016</v>
      </c>
      <c r="B20" s="7" t="s">
        <v>101</v>
      </c>
      <c r="C20" s="7" t="s">
        <v>29</v>
      </c>
      <c r="D20" s="7" t="s">
        <v>102</v>
      </c>
      <c r="E20" s="7" t="s">
        <v>25</v>
      </c>
      <c r="F20" s="14">
        <v>3962</v>
      </c>
      <c r="G20" s="15">
        <v>115.49</v>
      </c>
      <c r="H20" s="16">
        <v>6.267286205909868E-2</v>
      </c>
      <c r="I20" s="16">
        <v>4.2504928503458772E-2</v>
      </c>
      <c r="J20" s="15">
        <v>69.31</v>
      </c>
      <c r="K20" s="14">
        <v>2597</v>
      </c>
      <c r="L20" s="14">
        <v>909</v>
      </c>
      <c r="M20" s="15">
        <v>28.08</v>
      </c>
      <c r="N20" s="17">
        <v>457571.38</v>
      </c>
      <c r="O20" s="17">
        <v>28677.307980931429</v>
      </c>
      <c r="P20" s="17">
        <v>18230.11186672781</v>
      </c>
      <c r="Q20" s="17">
        <v>410663.96015234082</v>
      </c>
      <c r="R20" s="17">
        <v>274606.21999999997</v>
      </c>
      <c r="S20" s="17">
        <v>136057.7401523407</v>
      </c>
      <c r="T20" s="17">
        <v>25524.720000000001</v>
      </c>
    </row>
    <row r="21" spans="1:20" x14ac:dyDescent="0.3">
      <c r="A21" s="13">
        <v>45016</v>
      </c>
      <c r="B21" s="7" t="s">
        <v>101</v>
      </c>
      <c r="C21" s="7" t="s">
        <v>29</v>
      </c>
      <c r="D21" s="7" t="s">
        <v>102</v>
      </c>
      <c r="E21" s="7" t="s">
        <v>28</v>
      </c>
      <c r="F21" s="14">
        <v>1631</v>
      </c>
      <c r="G21" s="15">
        <v>112.16</v>
      </c>
      <c r="H21" s="16">
        <v>9.6396744432309125E-2</v>
      </c>
      <c r="I21" s="16">
        <v>4.213044754196027E-2</v>
      </c>
      <c r="J21" s="15">
        <v>69.95</v>
      </c>
      <c r="K21" s="14">
        <v>1375</v>
      </c>
      <c r="L21" s="14">
        <v>395</v>
      </c>
      <c r="M21" s="15">
        <v>14.84</v>
      </c>
      <c r="N21" s="17">
        <v>182932.96</v>
      </c>
      <c r="O21" s="17">
        <v>17634.14179336583</v>
      </c>
      <c r="P21" s="17">
        <v>6964.1131892026278</v>
      </c>
      <c r="Q21" s="17">
        <v>158334.70501743161</v>
      </c>
      <c r="R21" s="17">
        <v>114088.45</v>
      </c>
      <c r="S21" s="17">
        <v>44246.25501743154</v>
      </c>
      <c r="T21" s="17">
        <v>5861.8</v>
      </c>
    </row>
    <row r="22" spans="1:20" x14ac:dyDescent="0.3">
      <c r="A22" s="13">
        <v>45016</v>
      </c>
      <c r="B22" s="7" t="s">
        <v>101</v>
      </c>
      <c r="C22" s="7" t="s">
        <v>29</v>
      </c>
      <c r="D22" s="7" t="s">
        <v>102</v>
      </c>
      <c r="E22" s="7" t="s">
        <v>30</v>
      </c>
      <c r="F22" s="14">
        <v>1442</v>
      </c>
      <c r="G22" s="15">
        <v>95.73</v>
      </c>
      <c r="H22" s="16">
        <v>4.2476685561618988E-2</v>
      </c>
      <c r="I22" s="16">
        <v>2.4110300799972451E-2</v>
      </c>
      <c r="J22" s="15">
        <v>72.5</v>
      </c>
      <c r="K22" s="14">
        <v>126</v>
      </c>
      <c r="L22" s="14">
        <v>7</v>
      </c>
      <c r="M22" s="15">
        <v>4.78</v>
      </c>
      <c r="N22" s="17">
        <v>138042.66</v>
      </c>
      <c r="O22" s="17">
        <v>5863.5946629094788</v>
      </c>
      <c r="P22" s="17">
        <v>3186.877024736465</v>
      </c>
      <c r="Q22" s="17">
        <v>128992.1883123541</v>
      </c>
      <c r="R22" s="17">
        <v>104545</v>
      </c>
      <c r="S22" s="17">
        <v>24447.188312354061</v>
      </c>
      <c r="T22" s="17">
        <v>33.46</v>
      </c>
    </row>
    <row r="23" spans="1:20" x14ac:dyDescent="0.3">
      <c r="A23" s="13">
        <v>45016</v>
      </c>
      <c r="B23" s="7" t="s">
        <v>101</v>
      </c>
      <c r="C23" s="7" t="s">
        <v>29</v>
      </c>
      <c r="D23" s="7" t="s">
        <v>103</v>
      </c>
      <c r="E23" s="7" t="s">
        <v>25</v>
      </c>
      <c r="F23" s="14">
        <v>1366</v>
      </c>
      <c r="G23" s="15">
        <v>208.6</v>
      </c>
      <c r="H23" s="16">
        <v>6.3070367773349789E-2</v>
      </c>
      <c r="I23" s="16">
        <v>4.2766907993300192E-2</v>
      </c>
      <c r="J23" s="15">
        <v>120.52</v>
      </c>
      <c r="K23" s="14">
        <v>909</v>
      </c>
      <c r="L23" s="14">
        <v>329</v>
      </c>
      <c r="M23" s="15">
        <v>32.07</v>
      </c>
      <c r="N23" s="17">
        <v>284947.59999999998</v>
      </c>
      <c r="O23" s="17">
        <v>17971.749928133369</v>
      </c>
      <c r="P23" s="17">
        <v>11417.731616456629</v>
      </c>
      <c r="Q23" s="17">
        <v>255558.11845541</v>
      </c>
      <c r="R23" s="17">
        <v>164630.32</v>
      </c>
      <c r="S23" s="17">
        <v>90927.798455409968</v>
      </c>
      <c r="T23" s="17">
        <v>10551.03</v>
      </c>
    </row>
    <row r="24" spans="1:20" x14ac:dyDescent="0.3">
      <c r="A24" s="13">
        <v>45016</v>
      </c>
      <c r="B24" s="7" t="s">
        <v>101</v>
      </c>
      <c r="C24" s="7" t="s">
        <v>29</v>
      </c>
      <c r="D24" s="7" t="s">
        <v>103</v>
      </c>
      <c r="E24" s="7" t="s">
        <v>28</v>
      </c>
      <c r="F24" s="14">
        <v>924</v>
      </c>
      <c r="G24" s="15">
        <v>199.53</v>
      </c>
      <c r="H24" s="16">
        <v>7.8428372988380193E-2</v>
      </c>
      <c r="I24" s="16">
        <v>4.3936612529083319E-2</v>
      </c>
      <c r="J24" s="15">
        <v>119.3</v>
      </c>
      <c r="K24" s="14">
        <v>762</v>
      </c>
      <c r="L24" s="14">
        <v>266</v>
      </c>
      <c r="M24" s="15">
        <v>17.28</v>
      </c>
      <c r="N24" s="17">
        <v>184365.72</v>
      </c>
      <c r="O24" s="17">
        <v>14459.503454431269</v>
      </c>
      <c r="P24" s="17">
        <v>7465.1036026451784</v>
      </c>
      <c r="Q24" s="17">
        <v>162441.1129429235</v>
      </c>
      <c r="R24" s="17">
        <v>110233.2</v>
      </c>
      <c r="S24" s="17">
        <v>52207.912942923533</v>
      </c>
      <c r="T24" s="17">
        <v>4596.4799999999996</v>
      </c>
    </row>
    <row r="25" spans="1:20" x14ac:dyDescent="0.3">
      <c r="A25" s="13">
        <v>45016</v>
      </c>
      <c r="B25" s="7" t="s">
        <v>101</v>
      </c>
      <c r="C25" s="7" t="s">
        <v>29</v>
      </c>
      <c r="D25" s="7" t="s">
        <v>103</v>
      </c>
      <c r="E25" s="7" t="s">
        <v>30</v>
      </c>
      <c r="F25" s="14">
        <v>647</v>
      </c>
      <c r="G25" s="15">
        <v>167.75</v>
      </c>
      <c r="H25" s="16">
        <v>3.091091665188481E-2</v>
      </c>
      <c r="I25" s="16">
        <v>1.7767425239664899E-2</v>
      </c>
      <c r="J25" s="15">
        <v>120.62</v>
      </c>
      <c r="K25" s="14">
        <v>55</v>
      </c>
      <c r="L25" s="14">
        <v>3</v>
      </c>
      <c r="M25" s="15">
        <v>5.19</v>
      </c>
      <c r="N25" s="17">
        <v>108534.25</v>
      </c>
      <c r="O25" s="17">
        <v>3354.893155624829</v>
      </c>
      <c r="P25" s="17">
        <v>1868.7663594884721</v>
      </c>
      <c r="Q25" s="17">
        <v>103310.59048488671</v>
      </c>
      <c r="R25" s="17">
        <v>78041.14</v>
      </c>
      <c r="S25" s="17">
        <v>25269.450484886711</v>
      </c>
      <c r="T25" s="17">
        <v>15.57</v>
      </c>
    </row>
    <row r="26" spans="1:20" x14ac:dyDescent="0.3">
      <c r="A26" s="13">
        <v>45016</v>
      </c>
      <c r="B26" s="7" t="s">
        <v>101</v>
      </c>
      <c r="C26" s="7" t="s">
        <v>29</v>
      </c>
      <c r="D26" s="7" t="s">
        <v>104</v>
      </c>
      <c r="E26" s="7" t="s">
        <v>25</v>
      </c>
      <c r="F26" s="14">
        <v>1000</v>
      </c>
      <c r="G26" s="15">
        <v>41.81</v>
      </c>
      <c r="H26" s="16">
        <v>6.1383525953509738E-2</v>
      </c>
      <c r="I26" s="16">
        <v>4.0582087184459999E-2</v>
      </c>
      <c r="J26" s="15">
        <v>20.82</v>
      </c>
      <c r="K26" s="14">
        <v>694</v>
      </c>
      <c r="L26" s="14">
        <v>270</v>
      </c>
      <c r="M26" s="15">
        <v>34.06</v>
      </c>
      <c r="N26" s="17">
        <v>41810</v>
      </c>
      <c r="O26" s="17">
        <v>2566.445220116243</v>
      </c>
      <c r="P26" s="17">
        <v>1592.585361505375</v>
      </c>
      <c r="Q26" s="17">
        <v>37650.969418378387</v>
      </c>
      <c r="R26" s="17">
        <v>20820</v>
      </c>
      <c r="S26" s="17">
        <v>16830.96941837839</v>
      </c>
      <c r="T26" s="17">
        <v>9196.2000000000007</v>
      </c>
    </row>
    <row r="27" spans="1:20" x14ac:dyDescent="0.3">
      <c r="A27" s="13">
        <v>45016</v>
      </c>
      <c r="B27" s="7" t="s">
        <v>101</v>
      </c>
      <c r="C27" s="7" t="s">
        <v>29</v>
      </c>
      <c r="D27" s="7" t="s">
        <v>104</v>
      </c>
      <c r="E27" s="7" t="s">
        <v>28</v>
      </c>
      <c r="F27" s="14">
        <v>629</v>
      </c>
      <c r="G27" s="15">
        <v>38.799999999999997</v>
      </c>
      <c r="H27" s="16">
        <v>7.7339361961145839E-2</v>
      </c>
      <c r="I27" s="16">
        <v>6.7725529008129892E-2</v>
      </c>
      <c r="J27" s="15">
        <v>21.89</v>
      </c>
      <c r="K27" s="14">
        <v>547</v>
      </c>
      <c r="L27" s="14">
        <v>174</v>
      </c>
      <c r="M27" s="15">
        <v>19.670000000000002</v>
      </c>
      <c r="N27" s="17">
        <v>24405.200000000001</v>
      </c>
      <c r="O27" s="17">
        <v>1887.4825965341561</v>
      </c>
      <c r="P27" s="17">
        <v>1525.0243232052969</v>
      </c>
      <c r="Q27" s="17">
        <v>20992.693080260549</v>
      </c>
      <c r="R27" s="17">
        <v>13768.81</v>
      </c>
      <c r="S27" s="17">
        <v>7223.8830802605462</v>
      </c>
      <c r="T27" s="17">
        <v>3422.58</v>
      </c>
    </row>
    <row r="28" spans="1:20" x14ac:dyDescent="0.3">
      <c r="A28" s="13">
        <v>45016</v>
      </c>
      <c r="B28" s="7" t="s">
        <v>101</v>
      </c>
      <c r="C28" s="7" t="s">
        <v>29</v>
      </c>
      <c r="D28" s="7" t="s">
        <v>104</v>
      </c>
      <c r="E28" s="7" t="s">
        <v>30</v>
      </c>
      <c r="F28" s="14">
        <v>911</v>
      </c>
      <c r="G28" s="15">
        <v>35.89</v>
      </c>
      <c r="H28" s="16">
        <v>4.3908347507834788E-2</v>
      </c>
      <c r="I28" s="16">
        <v>1.842365377679827E-2</v>
      </c>
      <c r="J28" s="15">
        <v>22.05</v>
      </c>
      <c r="K28" s="14">
        <v>78</v>
      </c>
      <c r="L28" s="14">
        <v>5</v>
      </c>
      <c r="M28" s="15">
        <v>4.3</v>
      </c>
      <c r="N28" s="17">
        <v>32695.79</v>
      </c>
      <c r="O28" s="17">
        <v>1435.6181093631899</v>
      </c>
      <c r="P28" s="17">
        <v>575.92658391629413</v>
      </c>
      <c r="Q28" s="17">
        <v>30684.245306720521</v>
      </c>
      <c r="R28" s="17">
        <v>20087.55</v>
      </c>
      <c r="S28" s="17">
        <v>10596.69530672052</v>
      </c>
      <c r="T28" s="17">
        <v>21.5</v>
      </c>
    </row>
    <row r="29" spans="1:20" x14ac:dyDescent="0.3">
      <c r="A29" s="13">
        <v>45016</v>
      </c>
      <c r="B29" s="7" t="s">
        <v>101</v>
      </c>
      <c r="C29" s="7" t="s">
        <v>31</v>
      </c>
      <c r="D29" s="7" t="s">
        <v>102</v>
      </c>
      <c r="E29" s="7" t="s">
        <v>25</v>
      </c>
      <c r="F29" s="14">
        <v>1499</v>
      </c>
      <c r="G29" s="15">
        <v>111.71</v>
      </c>
      <c r="H29" s="16">
        <v>4.3194613266674273E-2</v>
      </c>
      <c r="I29" s="16">
        <v>4.6862601903745138E-2</v>
      </c>
      <c r="J29" s="15">
        <v>63.28</v>
      </c>
      <c r="K29" s="14">
        <v>1014</v>
      </c>
      <c r="L29" s="14">
        <v>387</v>
      </c>
      <c r="M29" s="15">
        <v>29.28</v>
      </c>
      <c r="N29" s="17">
        <v>167453.29</v>
      </c>
      <c r="O29" s="17">
        <v>7233.0801017822523</v>
      </c>
      <c r="P29" s="17">
        <v>7508.3359133946633</v>
      </c>
      <c r="Q29" s="17">
        <v>152711.87398482309</v>
      </c>
      <c r="R29" s="17">
        <v>94856.72</v>
      </c>
      <c r="S29" s="17">
        <v>57855.15398482306</v>
      </c>
      <c r="T29" s="17">
        <v>11331.36</v>
      </c>
    </row>
    <row r="30" spans="1:20" x14ac:dyDescent="0.3">
      <c r="A30" s="13">
        <v>45016</v>
      </c>
      <c r="B30" s="7" t="s">
        <v>101</v>
      </c>
      <c r="C30" s="7" t="s">
        <v>31</v>
      </c>
      <c r="D30" s="7" t="s">
        <v>102</v>
      </c>
      <c r="E30" s="7" t="s">
        <v>28</v>
      </c>
      <c r="F30" s="14">
        <v>865</v>
      </c>
      <c r="G30" s="15">
        <v>97.49</v>
      </c>
      <c r="H30" s="16">
        <v>9.9174569610618116E-2</v>
      </c>
      <c r="I30" s="16">
        <v>4.9044500524242952E-2</v>
      </c>
      <c r="J30" s="15">
        <v>66.930000000000007</v>
      </c>
      <c r="K30" s="14">
        <v>723</v>
      </c>
      <c r="L30" s="14">
        <v>203</v>
      </c>
      <c r="M30" s="15">
        <v>18.149999999999999</v>
      </c>
      <c r="N30" s="17">
        <v>84328.849999999991</v>
      </c>
      <c r="O30" s="17">
        <v>8363.2774045083734</v>
      </c>
      <c r="P30" s="17">
        <v>3725.6935649840038</v>
      </c>
      <c r="Q30" s="17">
        <v>72239.879030507611</v>
      </c>
      <c r="R30" s="17">
        <v>57894.45</v>
      </c>
      <c r="S30" s="17">
        <v>14345.42903050761</v>
      </c>
      <c r="T30" s="17">
        <v>3684.45</v>
      </c>
    </row>
    <row r="31" spans="1:20" x14ac:dyDescent="0.3">
      <c r="A31" s="13">
        <v>45016</v>
      </c>
      <c r="B31" s="7" t="s">
        <v>101</v>
      </c>
      <c r="C31" s="7" t="s">
        <v>31</v>
      </c>
      <c r="D31" s="7" t="s">
        <v>102</v>
      </c>
      <c r="E31" s="7" t="s">
        <v>30</v>
      </c>
      <c r="F31" s="14">
        <v>506</v>
      </c>
      <c r="G31" s="15">
        <v>82.21</v>
      </c>
      <c r="H31" s="16">
        <v>4.1118725888616557E-2</v>
      </c>
      <c r="I31" s="16">
        <v>1.6691067676158061E-2</v>
      </c>
      <c r="J31" s="15">
        <v>68.2</v>
      </c>
      <c r="K31" s="14">
        <v>46</v>
      </c>
      <c r="L31" s="14">
        <v>3</v>
      </c>
      <c r="M31" s="15">
        <v>4.29</v>
      </c>
      <c r="N31" s="17">
        <v>41598.259999999987</v>
      </c>
      <c r="O31" s="17">
        <v>1710.467450383403</v>
      </c>
      <c r="P31" s="17">
        <v>665.76984489820381</v>
      </c>
      <c r="Q31" s="17">
        <v>39222.022704718387</v>
      </c>
      <c r="R31" s="17">
        <v>34509.199999999997</v>
      </c>
      <c r="S31" s="17">
        <v>4712.8227047183827</v>
      </c>
      <c r="T31" s="17">
        <v>12.87</v>
      </c>
    </row>
    <row r="32" spans="1:20" x14ac:dyDescent="0.3">
      <c r="A32" s="13">
        <v>45016</v>
      </c>
      <c r="B32" s="7" t="s">
        <v>101</v>
      </c>
      <c r="C32" s="7" t="s">
        <v>31</v>
      </c>
      <c r="D32" s="7" t="s">
        <v>103</v>
      </c>
      <c r="E32" s="7" t="s">
        <v>25</v>
      </c>
      <c r="F32" s="14">
        <v>697</v>
      </c>
      <c r="G32" s="15">
        <v>187.79</v>
      </c>
      <c r="H32" s="16">
        <v>5.6989488877431459E-2</v>
      </c>
      <c r="I32" s="16">
        <v>3.5250546888390438E-2</v>
      </c>
      <c r="J32" s="15">
        <v>111.77</v>
      </c>
      <c r="K32" s="14">
        <v>490</v>
      </c>
      <c r="L32" s="14">
        <v>196</v>
      </c>
      <c r="M32" s="15">
        <v>42.17</v>
      </c>
      <c r="N32" s="17">
        <v>130889.63</v>
      </c>
      <c r="O32" s="17">
        <v>7459.3331130561182</v>
      </c>
      <c r="P32" s="17">
        <v>4350.9854678611673</v>
      </c>
      <c r="Q32" s="17">
        <v>119079.3114190827</v>
      </c>
      <c r="R32" s="17">
        <v>77903.69</v>
      </c>
      <c r="S32" s="17">
        <v>41175.621419082701</v>
      </c>
      <c r="T32" s="17">
        <v>8265.32</v>
      </c>
    </row>
    <row r="33" spans="1:20" x14ac:dyDescent="0.3">
      <c r="A33" s="13">
        <v>45016</v>
      </c>
      <c r="B33" s="7" t="s">
        <v>101</v>
      </c>
      <c r="C33" s="7" t="s">
        <v>31</v>
      </c>
      <c r="D33" s="7" t="s">
        <v>103</v>
      </c>
      <c r="E33" s="7" t="s">
        <v>28</v>
      </c>
      <c r="F33" s="14">
        <v>348</v>
      </c>
      <c r="G33" s="15">
        <v>191.64</v>
      </c>
      <c r="H33" s="16">
        <v>0.1039382810174405</v>
      </c>
      <c r="I33" s="16">
        <v>3.7209450510689787E-2</v>
      </c>
      <c r="J33" s="15">
        <v>112.34</v>
      </c>
      <c r="K33" s="14">
        <v>275</v>
      </c>
      <c r="L33" s="14">
        <v>87</v>
      </c>
      <c r="M33" s="15">
        <v>22.1</v>
      </c>
      <c r="N33" s="17">
        <v>66690.720000000001</v>
      </c>
      <c r="O33" s="17">
        <v>6931.7187966154379</v>
      </c>
      <c r="P33" s="17">
        <v>2223.5995978455899</v>
      </c>
      <c r="Q33" s="17">
        <v>57535.401605538973</v>
      </c>
      <c r="R33" s="17">
        <v>39094.32</v>
      </c>
      <c r="S33" s="17">
        <v>18441.08160553897</v>
      </c>
      <c r="T33" s="17">
        <v>1922.7</v>
      </c>
    </row>
    <row r="34" spans="1:20" x14ac:dyDescent="0.3">
      <c r="A34" s="13">
        <v>45016</v>
      </c>
      <c r="B34" s="7" t="s">
        <v>101</v>
      </c>
      <c r="C34" s="7" t="s">
        <v>31</v>
      </c>
      <c r="D34" s="7" t="s">
        <v>103</v>
      </c>
      <c r="E34" s="7" t="s">
        <v>30</v>
      </c>
      <c r="F34" s="14">
        <v>228</v>
      </c>
      <c r="G34" s="15">
        <v>155.07</v>
      </c>
      <c r="H34" s="16">
        <v>3.9642847863629198E-2</v>
      </c>
      <c r="I34" s="16">
        <v>3.7936632996546371E-3</v>
      </c>
      <c r="J34" s="15">
        <v>110.5</v>
      </c>
      <c r="K34" s="14">
        <v>19</v>
      </c>
      <c r="L34" s="14">
        <v>1</v>
      </c>
      <c r="M34" s="15">
        <v>4.7699999999999996</v>
      </c>
      <c r="N34" s="17">
        <v>35355.96</v>
      </c>
      <c r="O34" s="17">
        <v>1401.6109433525589</v>
      </c>
      <c r="P34" s="17">
        <v>128.81136787986651</v>
      </c>
      <c r="Q34" s="17">
        <v>33825.537688767567</v>
      </c>
      <c r="R34" s="17">
        <v>25194</v>
      </c>
      <c r="S34" s="17">
        <v>8631.5376887675739</v>
      </c>
      <c r="T34" s="17">
        <v>4.7699999999999996</v>
      </c>
    </row>
    <row r="35" spans="1:20" x14ac:dyDescent="0.3">
      <c r="A35" s="13">
        <v>45016</v>
      </c>
      <c r="B35" s="7" t="s">
        <v>101</v>
      </c>
      <c r="C35" s="7" t="s">
        <v>31</v>
      </c>
      <c r="D35" s="7" t="s">
        <v>104</v>
      </c>
      <c r="E35" s="7" t="s">
        <v>25</v>
      </c>
      <c r="F35" s="14">
        <v>454</v>
      </c>
      <c r="G35" s="15">
        <v>39.159999999999997</v>
      </c>
      <c r="H35" s="16">
        <v>6.1176665195574832E-2</v>
      </c>
      <c r="I35" s="16">
        <v>5.4412732890661161E-2</v>
      </c>
      <c r="J35" s="15">
        <v>20</v>
      </c>
      <c r="K35" s="14">
        <v>334</v>
      </c>
      <c r="L35" s="14">
        <v>116</v>
      </c>
      <c r="M35" s="15">
        <v>38.700000000000003</v>
      </c>
      <c r="N35" s="17">
        <v>17778.64</v>
      </c>
      <c r="O35" s="17">
        <v>1087.637906912654</v>
      </c>
      <c r="P35" s="17">
        <v>908.20303856862802</v>
      </c>
      <c r="Q35" s="17">
        <v>15782.799054518709</v>
      </c>
      <c r="R35" s="17">
        <v>9080</v>
      </c>
      <c r="S35" s="17">
        <v>6702.7990545187149</v>
      </c>
      <c r="T35" s="17">
        <v>4489.2000000000007</v>
      </c>
    </row>
    <row r="36" spans="1:20" x14ac:dyDescent="0.3">
      <c r="A36" s="13">
        <v>45016</v>
      </c>
      <c r="B36" s="7" t="s">
        <v>101</v>
      </c>
      <c r="C36" s="7" t="s">
        <v>31</v>
      </c>
      <c r="D36" s="7" t="s">
        <v>104</v>
      </c>
      <c r="E36" s="7" t="s">
        <v>28</v>
      </c>
      <c r="F36" s="14">
        <v>259</v>
      </c>
      <c r="G36" s="15">
        <v>37.409999999999997</v>
      </c>
      <c r="H36" s="16">
        <v>8.1897072158356274E-2</v>
      </c>
      <c r="I36" s="16">
        <v>6.1047031274850283E-2</v>
      </c>
      <c r="J36" s="15">
        <v>20.66</v>
      </c>
      <c r="K36" s="14">
        <v>207</v>
      </c>
      <c r="L36" s="14">
        <v>64</v>
      </c>
      <c r="M36" s="15">
        <v>18.37</v>
      </c>
      <c r="N36" s="17">
        <v>9689.1899999999987</v>
      </c>
      <c r="O36" s="17">
        <v>793.51629258602395</v>
      </c>
      <c r="P36" s="17">
        <v>543.05447102736423</v>
      </c>
      <c r="Q36" s="17">
        <v>8352.6192363866103</v>
      </c>
      <c r="R36" s="17">
        <v>5350.94</v>
      </c>
      <c r="S36" s="17">
        <v>3001.6792363866111</v>
      </c>
      <c r="T36" s="17">
        <v>1175.68</v>
      </c>
    </row>
    <row r="37" spans="1:20" x14ac:dyDescent="0.3">
      <c r="A37" s="13">
        <v>45016</v>
      </c>
      <c r="B37" s="7" t="s">
        <v>101</v>
      </c>
      <c r="C37" s="7" t="s">
        <v>31</v>
      </c>
      <c r="D37" s="7" t="s">
        <v>104</v>
      </c>
      <c r="E37" s="7" t="s">
        <v>30</v>
      </c>
      <c r="F37" s="14">
        <v>233</v>
      </c>
      <c r="G37" s="15">
        <v>34.200000000000003</v>
      </c>
      <c r="H37" s="16">
        <v>2.8287473202864989E-2</v>
      </c>
      <c r="I37" s="16">
        <v>1.9241074524822089E-2</v>
      </c>
      <c r="J37" s="15">
        <v>21.27</v>
      </c>
      <c r="K37" s="14">
        <v>21</v>
      </c>
      <c r="L37" s="14">
        <v>1</v>
      </c>
      <c r="M37" s="15">
        <v>5.25</v>
      </c>
      <c r="N37" s="17">
        <v>7968.6</v>
      </c>
      <c r="O37" s="17">
        <v>225.41155896435001</v>
      </c>
      <c r="P37" s="17">
        <v>148.9872658537079</v>
      </c>
      <c r="Q37" s="17">
        <v>7594.2011751819427</v>
      </c>
      <c r="R37" s="17">
        <v>4955.91</v>
      </c>
      <c r="S37" s="17">
        <v>2638.2911751819429</v>
      </c>
      <c r="T37" s="17">
        <v>5.25</v>
      </c>
    </row>
    <row r="38" spans="1:20" x14ac:dyDescent="0.3">
      <c r="A38" s="13">
        <v>45046</v>
      </c>
      <c r="B38" s="7" t="s">
        <v>105</v>
      </c>
      <c r="C38" s="7" t="s">
        <v>24</v>
      </c>
      <c r="D38" s="7" t="s">
        <v>102</v>
      </c>
      <c r="E38" s="7" t="s">
        <v>25</v>
      </c>
      <c r="F38" s="14">
        <v>6025</v>
      </c>
      <c r="G38" s="15">
        <v>122.92</v>
      </c>
      <c r="H38" s="16">
        <v>6.3213139373685431E-2</v>
      </c>
      <c r="I38" s="16">
        <v>3.3070904047393462E-2</v>
      </c>
      <c r="J38" s="15">
        <v>72.03</v>
      </c>
      <c r="K38" s="14">
        <v>4073</v>
      </c>
      <c r="L38" s="14">
        <v>1493</v>
      </c>
      <c r="M38" s="15">
        <v>33.770000000000003</v>
      </c>
      <c r="N38" s="17">
        <v>740593</v>
      </c>
      <c r="O38" s="17">
        <v>46815.208528175812</v>
      </c>
      <c r="P38" s="17">
        <v>22943.85877197724</v>
      </c>
      <c r="Q38" s="17">
        <v>670833.93269984692</v>
      </c>
      <c r="R38" s="17">
        <v>433980.75</v>
      </c>
      <c r="S38" s="17">
        <v>236853.18269984689</v>
      </c>
      <c r="T38" s="17">
        <v>50418.610000000008</v>
      </c>
    </row>
    <row r="39" spans="1:20" x14ac:dyDescent="0.3">
      <c r="A39" s="13">
        <v>45046</v>
      </c>
      <c r="B39" s="7" t="s">
        <v>105</v>
      </c>
      <c r="C39" s="7" t="s">
        <v>24</v>
      </c>
      <c r="D39" s="7" t="s">
        <v>102</v>
      </c>
      <c r="E39" s="7" t="s">
        <v>28</v>
      </c>
      <c r="F39" s="14">
        <v>3291</v>
      </c>
      <c r="G39" s="15">
        <v>111.55</v>
      </c>
      <c r="H39" s="16">
        <v>0.100088463669164</v>
      </c>
      <c r="I39" s="16">
        <v>6.9155553981501972E-2</v>
      </c>
      <c r="J39" s="15">
        <v>70.099999999999994</v>
      </c>
      <c r="K39" s="14">
        <v>2812</v>
      </c>
      <c r="L39" s="14">
        <v>802</v>
      </c>
      <c r="M39" s="15">
        <v>18.38</v>
      </c>
      <c r="N39" s="17">
        <v>367111.05</v>
      </c>
      <c r="O39" s="17">
        <v>36743.580990473652</v>
      </c>
      <c r="P39" s="17">
        <v>22846.745336820481</v>
      </c>
      <c r="Q39" s="17">
        <v>307520.72367270582</v>
      </c>
      <c r="R39" s="17">
        <v>230699.1</v>
      </c>
      <c r="S39" s="17">
        <v>76821.623672705842</v>
      </c>
      <c r="T39" s="17">
        <v>14740.76</v>
      </c>
    </row>
    <row r="40" spans="1:20" x14ac:dyDescent="0.3">
      <c r="A40" s="13">
        <v>45046</v>
      </c>
      <c r="B40" s="7" t="s">
        <v>105</v>
      </c>
      <c r="C40" s="7" t="s">
        <v>24</v>
      </c>
      <c r="D40" s="7" t="s">
        <v>102</v>
      </c>
      <c r="E40" s="7" t="s">
        <v>30</v>
      </c>
      <c r="F40" s="14">
        <v>2863</v>
      </c>
      <c r="G40" s="15">
        <v>98.2</v>
      </c>
      <c r="H40" s="16">
        <v>3.8693912780636677E-2</v>
      </c>
      <c r="I40" s="16">
        <v>2.5493884259935949E-2</v>
      </c>
      <c r="J40" s="15">
        <v>71.88</v>
      </c>
      <c r="K40" s="14">
        <v>233</v>
      </c>
      <c r="L40" s="14">
        <v>14</v>
      </c>
      <c r="M40" s="15">
        <v>5.73</v>
      </c>
      <c r="N40" s="17">
        <v>281146.59999999998</v>
      </c>
      <c r="O40" s="17">
        <v>10878.662018972551</v>
      </c>
      <c r="P40" s="17">
        <v>6890.1795300598624</v>
      </c>
      <c r="Q40" s="17">
        <v>263377.75845096761</v>
      </c>
      <c r="R40" s="17">
        <v>205792.44</v>
      </c>
      <c r="S40" s="17">
        <v>57585.318450967643</v>
      </c>
      <c r="T40" s="17">
        <v>80.22</v>
      </c>
    </row>
    <row r="41" spans="1:20" x14ac:dyDescent="0.3">
      <c r="A41" s="13">
        <v>45046</v>
      </c>
      <c r="B41" s="7" t="s">
        <v>105</v>
      </c>
      <c r="C41" s="7" t="s">
        <v>24</v>
      </c>
      <c r="D41" s="7" t="s">
        <v>103</v>
      </c>
      <c r="E41" s="7" t="s">
        <v>25</v>
      </c>
      <c r="F41" s="14">
        <v>3596</v>
      </c>
      <c r="G41" s="15">
        <v>218.95</v>
      </c>
      <c r="H41" s="16">
        <v>6.2917497172395975E-2</v>
      </c>
      <c r="I41" s="16">
        <v>3.8698569456323148E-2</v>
      </c>
      <c r="J41" s="15">
        <v>120.59</v>
      </c>
      <c r="K41" s="14">
        <v>2482</v>
      </c>
      <c r="L41" s="14">
        <v>982</v>
      </c>
      <c r="M41" s="15">
        <v>35.43</v>
      </c>
      <c r="N41" s="17">
        <v>787344.2</v>
      </c>
      <c r="O41" s="17">
        <v>49537.72647720237</v>
      </c>
      <c r="P41" s="17">
        <v>28552.05506094683</v>
      </c>
      <c r="Q41" s="17">
        <v>709254.41846185073</v>
      </c>
      <c r="R41" s="17">
        <v>433641.64</v>
      </c>
      <c r="S41" s="17">
        <v>275612.77846185071</v>
      </c>
      <c r="T41" s="17">
        <v>34792.26</v>
      </c>
    </row>
    <row r="42" spans="1:20" x14ac:dyDescent="0.3">
      <c r="A42" s="13">
        <v>45046</v>
      </c>
      <c r="B42" s="7" t="s">
        <v>105</v>
      </c>
      <c r="C42" s="7" t="s">
        <v>24</v>
      </c>
      <c r="D42" s="7" t="s">
        <v>103</v>
      </c>
      <c r="E42" s="7" t="s">
        <v>28</v>
      </c>
      <c r="F42" s="14">
        <v>1115</v>
      </c>
      <c r="G42" s="15">
        <v>201.12</v>
      </c>
      <c r="H42" s="16">
        <v>0.1056344967922509</v>
      </c>
      <c r="I42" s="16">
        <v>7.1874940409444033E-2</v>
      </c>
      <c r="J42" s="15">
        <v>122.49</v>
      </c>
      <c r="K42" s="14">
        <v>1007</v>
      </c>
      <c r="L42" s="14">
        <v>284</v>
      </c>
      <c r="M42" s="15">
        <v>20.04</v>
      </c>
      <c r="N42" s="17">
        <v>224248.8</v>
      </c>
      <c r="O42" s="17">
        <v>23688.409144266119</v>
      </c>
      <c r="P42" s="17">
        <v>14415.26614125068</v>
      </c>
      <c r="Q42" s="17">
        <v>186145.12471448319</v>
      </c>
      <c r="R42" s="17">
        <v>136576.35</v>
      </c>
      <c r="S42" s="17">
        <v>49568.77471448321</v>
      </c>
      <c r="T42" s="17">
        <v>5691.36</v>
      </c>
    </row>
    <row r="43" spans="1:20" x14ac:dyDescent="0.3">
      <c r="A43" s="13">
        <v>45046</v>
      </c>
      <c r="B43" s="7" t="s">
        <v>105</v>
      </c>
      <c r="C43" s="7" t="s">
        <v>24</v>
      </c>
      <c r="D43" s="7" t="s">
        <v>103</v>
      </c>
      <c r="E43" s="7" t="s">
        <v>30</v>
      </c>
      <c r="F43" s="14">
        <v>1032</v>
      </c>
      <c r="G43" s="15">
        <v>177.88</v>
      </c>
      <c r="H43" s="16">
        <v>4.5850718400506509E-2</v>
      </c>
      <c r="I43" s="16">
        <v>1.9264713092489311E-2</v>
      </c>
      <c r="J43" s="15">
        <v>117.26</v>
      </c>
      <c r="K43" s="14">
        <v>83</v>
      </c>
      <c r="L43" s="14">
        <v>5</v>
      </c>
      <c r="M43" s="15">
        <v>4.71</v>
      </c>
      <c r="N43" s="17">
        <v>183572.16</v>
      </c>
      <c r="O43" s="17">
        <v>8416.915414332725</v>
      </c>
      <c r="P43" s="17">
        <v>3374.3155335876709</v>
      </c>
      <c r="Q43" s="17">
        <v>171780.92905207959</v>
      </c>
      <c r="R43" s="17">
        <v>121012.32</v>
      </c>
      <c r="S43" s="17">
        <v>50768.609052079577</v>
      </c>
      <c r="T43" s="17">
        <v>23.55</v>
      </c>
    </row>
    <row r="44" spans="1:20" x14ac:dyDescent="0.3">
      <c r="A44" s="13">
        <v>45046</v>
      </c>
      <c r="B44" s="7" t="s">
        <v>105</v>
      </c>
      <c r="C44" s="7" t="s">
        <v>24</v>
      </c>
      <c r="D44" s="7" t="s">
        <v>104</v>
      </c>
      <c r="E44" s="7" t="s">
        <v>25</v>
      </c>
      <c r="F44" s="14">
        <v>2450</v>
      </c>
      <c r="G44" s="15">
        <v>45.41</v>
      </c>
      <c r="H44" s="16">
        <v>6.2204699139978503E-2</v>
      </c>
      <c r="I44" s="16">
        <v>3.49305682462887E-2</v>
      </c>
      <c r="J44" s="15">
        <v>21.73</v>
      </c>
      <c r="K44" s="14">
        <v>1652</v>
      </c>
      <c r="L44" s="14">
        <v>597</v>
      </c>
      <c r="M44" s="15">
        <v>33.340000000000003</v>
      </c>
      <c r="N44" s="17">
        <v>111254.5</v>
      </c>
      <c r="O44" s="17">
        <v>6920.5527004687374</v>
      </c>
      <c r="P44" s="17">
        <v>3644.4440665509651</v>
      </c>
      <c r="Q44" s="17">
        <v>100689.50323298031</v>
      </c>
      <c r="R44" s="17">
        <v>53238.5</v>
      </c>
      <c r="S44" s="17">
        <v>47451.003232980293</v>
      </c>
      <c r="T44" s="17">
        <v>19903.98</v>
      </c>
    </row>
    <row r="45" spans="1:20" x14ac:dyDescent="0.3">
      <c r="A45" s="13">
        <v>45046</v>
      </c>
      <c r="B45" s="7" t="s">
        <v>105</v>
      </c>
      <c r="C45" s="7" t="s">
        <v>24</v>
      </c>
      <c r="D45" s="7" t="s">
        <v>104</v>
      </c>
      <c r="E45" s="7" t="s">
        <v>28</v>
      </c>
      <c r="F45" s="14">
        <v>797</v>
      </c>
      <c r="G45" s="15">
        <v>42.2</v>
      </c>
      <c r="H45" s="16">
        <v>9.4197252135573048E-2</v>
      </c>
      <c r="I45" s="16">
        <v>8.2130343254243274E-2</v>
      </c>
      <c r="J45" s="15">
        <v>22.61</v>
      </c>
      <c r="K45" s="14">
        <v>627</v>
      </c>
      <c r="L45" s="14">
        <v>180</v>
      </c>
      <c r="M45" s="15">
        <v>17.48</v>
      </c>
      <c r="N45" s="17">
        <v>33633.4</v>
      </c>
      <c r="O45" s="17">
        <v>3168.1738599765831</v>
      </c>
      <c r="P45" s="17">
        <v>2502.1194801982679</v>
      </c>
      <c r="Q45" s="17">
        <v>27963.106659825149</v>
      </c>
      <c r="R45" s="17">
        <v>18020.169999999998</v>
      </c>
      <c r="S45" s="17">
        <v>9942.9366598251545</v>
      </c>
      <c r="T45" s="17">
        <v>3146.4</v>
      </c>
    </row>
    <row r="46" spans="1:20" x14ac:dyDescent="0.3">
      <c r="A46" s="13">
        <v>45046</v>
      </c>
      <c r="B46" s="7" t="s">
        <v>105</v>
      </c>
      <c r="C46" s="7" t="s">
        <v>24</v>
      </c>
      <c r="D46" s="7" t="s">
        <v>104</v>
      </c>
      <c r="E46" s="7" t="s">
        <v>30</v>
      </c>
      <c r="F46" s="14">
        <v>824</v>
      </c>
      <c r="G46" s="15">
        <v>36.74</v>
      </c>
      <c r="H46" s="16">
        <v>4.1936311362028543E-2</v>
      </c>
      <c r="I46" s="16">
        <v>1.586384528223838E-2</v>
      </c>
      <c r="J46" s="15">
        <v>22.39</v>
      </c>
      <c r="K46" s="14">
        <v>66</v>
      </c>
      <c r="L46" s="14">
        <v>4</v>
      </c>
      <c r="M46" s="15">
        <v>6.38</v>
      </c>
      <c r="N46" s="17">
        <v>30273.759999999998</v>
      </c>
      <c r="O46" s="17">
        <v>1269.5698254593251</v>
      </c>
      <c r="P46" s="17">
        <v>460.117985465532</v>
      </c>
      <c r="Q46" s="17">
        <v>28544.072189075141</v>
      </c>
      <c r="R46" s="17">
        <v>18449.36</v>
      </c>
      <c r="S46" s="17">
        <v>10094.71218907514</v>
      </c>
      <c r="T46" s="17">
        <v>25.52</v>
      </c>
    </row>
    <row r="47" spans="1:20" x14ac:dyDescent="0.3">
      <c r="A47" s="13">
        <v>45046</v>
      </c>
      <c r="B47" s="7" t="s">
        <v>105</v>
      </c>
      <c r="C47" s="7" t="s">
        <v>27</v>
      </c>
      <c r="D47" s="7" t="s">
        <v>102</v>
      </c>
      <c r="E47" s="7" t="s">
        <v>25</v>
      </c>
      <c r="F47" s="14">
        <v>4293</v>
      </c>
      <c r="G47" s="15">
        <v>128.68</v>
      </c>
      <c r="H47" s="16">
        <v>6.2016832336293737E-2</v>
      </c>
      <c r="I47" s="16">
        <v>4.0125924007817948E-2</v>
      </c>
      <c r="J47" s="15">
        <v>73.16</v>
      </c>
      <c r="K47" s="14">
        <v>3008</v>
      </c>
      <c r="L47" s="14">
        <v>1190</v>
      </c>
      <c r="M47" s="15">
        <v>27.55</v>
      </c>
      <c r="N47" s="17">
        <v>552423.24</v>
      </c>
      <c r="O47" s="17">
        <v>34259.539453752157</v>
      </c>
      <c r="P47" s="17">
        <v>20791.797271728479</v>
      </c>
      <c r="Q47" s="17">
        <v>497371.90327451943</v>
      </c>
      <c r="R47" s="17">
        <v>314075.88</v>
      </c>
      <c r="S47" s="17">
        <v>183296.02327451939</v>
      </c>
      <c r="T47" s="17">
        <v>32784.5</v>
      </c>
    </row>
    <row r="48" spans="1:20" x14ac:dyDescent="0.3">
      <c r="A48" s="13">
        <v>45046</v>
      </c>
      <c r="B48" s="7" t="s">
        <v>105</v>
      </c>
      <c r="C48" s="7" t="s">
        <v>27</v>
      </c>
      <c r="D48" s="7" t="s">
        <v>102</v>
      </c>
      <c r="E48" s="7" t="s">
        <v>28</v>
      </c>
      <c r="F48" s="14">
        <v>1999</v>
      </c>
      <c r="G48" s="15">
        <v>125.12</v>
      </c>
      <c r="H48" s="16">
        <v>0.119067963176406</v>
      </c>
      <c r="I48" s="16">
        <v>4.8489786556679258E-2</v>
      </c>
      <c r="J48" s="15">
        <v>74.849999999999994</v>
      </c>
      <c r="K48" s="14">
        <v>1699</v>
      </c>
      <c r="L48" s="14">
        <v>554</v>
      </c>
      <c r="M48" s="15">
        <v>18.59</v>
      </c>
      <c r="N48" s="17">
        <v>250114.88</v>
      </c>
      <c r="O48" s="17">
        <v>29780.669321711201</v>
      </c>
      <c r="P48" s="17">
        <v>10683.958846924619</v>
      </c>
      <c r="Q48" s="17">
        <v>209650.25183136421</v>
      </c>
      <c r="R48" s="17">
        <v>149625.15</v>
      </c>
      <c r="S48" s="17">
        <v>60025.101831364183</v>
      </c>
      <c r="T48" s="17">
        <v>10298.86</v>
      </c>
    </row>
    <row r="49" spans="1:20" x14ac:dyDescent="0.3">
      <c r="A49" s="13">
        <v>45046</v>
      </c>
      <c r="B49" s="7" t="s">
        <v>105</v>
      </c>
      <c r="C49" s="7" t="s">
        <v>27</v>
      </c>
      <c r="D49" s="7" t="s">
        <v>102</v>
      </c>
      <c r="E49" s="7" t="s">
        <v>30</v>
      </c>
      <c r="F49" s="14">
        <v>2361</v>
      </c>
      <c r="G49" s="15">
        <v>104.99</v>
      </c>
      <c r="H49" s="16">
        <v>2.7256625654141161E-2</v>
      </c>
      <c r="I49" s="16">
        <v>1.7371224891596201E-2</v>
      </c>
      <c r="J49" s="15">
        <v>71.28</v>
      </c>
      <c r="K49" s="14">
        <v>190</v>
      </c>
      <c r="L49" s="14">
        <v>11</v>
      </c>
      <c r="M49" s="15">
        <v>5.14</v>
      </c>
      <c r="N49" s="17">
        <v>247881.39</v>
      </c>
      <c r="O49" s="17">
        <v>6756.410253858171</v>
      </c>
      <c r="P49" s="17">
        <v>4188.6362501518079</v>
      </c>
      <c r="Q49" s="17">
        <v>236936.34349599</v>
      </c>
      <c r="R49" s="17">
        <v>168292.08</v>
      </c>
      <c r="S49" s="17">
        <v>68644.263495989988</v>
      </c>
      <c r="T49" s="17">
        <v>56.54</v>
      </c>
    </row>
    <row r="50" spans="1:20" x14ac:dyDescent="0.3">
      <c r="A50" s="13">
        <v>45046</v>
      </c>
      <c r="B50" s="7" t="s">
        <v>105</v>
      </c>
      <c r="C50" s="7" t="s">
        <v>27</v>
      </c>
      <c r="D50" s="7" t="s">
        <v>103</v>
      </c>
      <c r="E50" s="7" t="s">
        <v>25</v>
      </c>
      <c r="F50" s="14">
        <v>2116</v>
      </c>
      <c r="G50" s="15">
        <v>234.88</v>
      </c>
      <c r="H50" s="16">
        <v>5.1914267957864767E-2</v>
      </c>
      <c r="I50" s="16">
        <v>4.491919171506506E-2</v>
      </c>
      <c r="J50" s="15">
        <v>120.1</v>
      </c>
      <c r="K50" s="14">
        <v>1569</v>
      </c>
      <c r="L50" s="14">
        <v>630</v>
      </c>
      <c r="M50" s="15">
        <v>42.55</v>
      </c>
      <c r="N50" s="17">
        <v>497006.08000000002</v>
      </c>
      <c r="O50" s="17">
        <v>25801.706813807981</v>
      </c>
      <c r="P50" s="17">
        <v>21166.119576127621</v>
      </c>
      <c r="Q50" s="17">
        <v>450038.25361006439</v>
      </c>
      <c r="R50" s="17">
        <v>254131.6</v>
      </c>
      <c r="S50" s="17">
        <v>195906.65361006439</v>
      </c>
      <c r="T50" s="17">
        <v>26806.5</v>
      </c>
    </row>
    <row r="51" spans="1:20" x14ac:dyDescent="0.3">
      <c r="A51" s="13">
        <v>45046</v>
      </c>
      <c r="B51" s="7" t="s">
        <v>105</v>
      </c>
      <c r="C51" s="7" t="s">
        <v>27</v>
      </c>
      <c r="D51" s="7" t="s">
        <v>103</v>
      </c>
      <c r="E51" s="7" t="s">
        <v>28</v>
      </c>
      <c r="F51" s="14">
        <v>1119</v>
      </c>
      <c r="G51" s="15">
        <v>231.6</v>
      </c>
      <c r="H51" s="16">
        <v>8.8453712089089656E-2</v>
      </c>
      <c r="I51" s="16">
        <v>7.8567244679601925E-2</v>
      </c>
      <c r="J51" s="15">
        <v>119.07</v>
      </c>
      <c r="K51" s="14">
        <v>915</v>
      </c>
      <c r="L51" s="14">
        <v>246</v>
      </c>
      <c r="M51" s="15">
        <v>16.059999999999999</v>
      </c>
      <c r="N51" s="17">
        <v>259160.4</v>
      </c>
      <c r="O51" s="17">
        <v>22923.69940649331</v>
      </c>
      <c r="P51" s="17">
        <v>18560.466657831901</v>
      </c>
      <c r="Q51" s="17">
        <v>217676.2339356748</v>
      </c>
      <c r="R51" s="17">
        <v>133239.32999999999</v>
      </c>
      <c r="S51" s="17">
        <v>84436.903935674782</v>
      </c>
      <c r="T51" s="17">
        <v>3950.76</v>
      </c>
    </row>
    <row r="52" spans="1:20" x14ac:dyDescent="0.3">
      <c r="A52" s="13">
        <v>45046</v>
      </c>
      <c r="B52" s="7" t="s">
        <v>105</v>
      </c>
      <c r="C52" s="7" t="s">
        <v>27</v>
      </c>
      <c r="D52" s="7" t="s">
        <v>103</v>
      </c>
      <c r="E52" s="7" t="s">
        <v>30</v>
      </c>
      <c r="F52" s="14">
        <v>724</v>
      </c>
      <c r="G52" s="15">
        <v>198.46</v>
      </c>
      <c r="H52" s="16">
        <v>3.3594277423704438E-2</v>
      </c>
      <c r="I52" s="16">
        <v>1.928810257489353E-2</v>
      </c>
      <c r="J52" s="15">
        <v>125.5</v>
      </c>
      <c r="K52" s="14">
        <v>60</v>
      </c>
      <c r="L52" s="14">
        <v>4</v>
      </c>
      <c r="M52" s="15">
        <v>5.46</v>
      </c>
      <c r="N52" s="17">
        <v>143685.04</v>
      </c>
      <c r="O52" s="17">
        <v>4826.9950953960697</v>
      </c>
      <c r="P52" s="17">
        <v>2678.3082134691731</v>
      </c>
      <c r="Q52" s="17">
        <v>136179.73669113481</v>
      </c>
      <c r="R52" s="17">
        <v>90862</v>
      </c>
      <c r="S52" s="17">
        <v>45317.736691134778</v>
      </c>
      <c r="T52" s="17">
        <v>21.84</v>
      </c>
    </row>
    <row r="53" spans="1:20" x14ac:dyDescent="0.3">
      <c r="A53" s="13">
        <v>45046</v>
      </c>
      <c r="B53" s="7" t="s">
        <v>105</v>
      </c>
      <c r="C53" s="7" t="s">
        <v>27</v>
      </c>
      <c r="D53" s="7" t="s">
        <v>104</v>
      </c>
      <c r="E53" s="7" t="s">
        <v>25</v>
      </c>
      <c r="F53" s="14">
        <v>1810</v>
      </c>
      <c r="G53" s="15">
        <v>50.3</v>
      </c>
      <c r="H53" s="16">
        <v>6.2990826107816325E-2</v>
      </c>
      <c r="I53" s="16">
        <v>3.2515134634434457E-2</v>
      </c>
      <c r="J53" s="15">
        <v>23.99</v>
      </c>
      <c r="K53" s="14">
        <v>1192</v>
      </c>
      <c r="L53" s="14">
        <v>411</v>
      </c>
      <c r="M53" s="15">
        <v>32.67</v>
      </c>
      <c r="N53" s="17">
        <v>91043</v>
      </c>
      <c r="O53" s="17">
        <v>5734.8737813339221</v>
      </c>
      <c r="P53" s="17">
        <v>2773.8052094112559</v>
      </c>
      <c r="Q53" s="17">
        <v>82534.321009254825</v>
      </c>
      <c r="R53" s="17">
        <v>43421.899999999987</v>
      </c>
      <c r="S53" s="17">
        <v>39112.421009254831</v>
      </c>
      <c r="T53" s="17">
        <v>13427.37</v>
      </c>
    </row>
    <row r="54" spans="1:20" x14ac:dyDescent="0.3">
      <c r="A54" s="13">
        <v>45046</v>
      </c>
      <c r="B54" s="7" t="s">
        <v>105</v>
      </c>
      <c r="C54" s="7" t="s">
        <v>27</v>
      </c>
      <c r="D54" s="7" t="s">
        <v>104</v>
      </c>
      <c r="E54" s="7" t="s">
        <v>28</v>
      </c>
      <c r="F54" s="14">
        <v>895</v>
      </c>
      <c r="G54" s="15">
        <v>47.83</v>
      </c>
      <c r="H54" s="16">
        <v>8.6638983995532506E-2</v>
      </c>
      <c r="I54" s="16">
        <v>7.4573564264315328E-2</v>
      </c>
      <c r="J54" s="15">
        <v>23.37</v>
      </c>
      <c r="K54" s="14">
        <v>748</v>
      </c>
      <c r="L54" s="14">
        <v>252</v>
      </c>
      <c r="M54" s="15">
        <v>22.43</v>
      </c>
      <c r="N54" s="17">
        <v>42807.85</v>
      </c>
      <c r="O54" s="17">
        <v>3708.8286310331559</v>
      </c>
      <c r="P54" s="17">
        <v>2915.7533827304869</v>
      </c>
      <c r="Q54" s="17">
        <v>36183.267986236358</v>
      </c>
      <c r="R54" s="17">
        <v>20916.150000000001</v>
      </c>
      <c r="S54" s="17">
        <v>15267.117986236361</v>
      </c>
      <c r="T54" s="17">
        <v>5652.36</v>
      </c>
    </row>
    <row r="55" spans="1:20" x14ac:dyDescent="0.3">
      <c r="A55" s="13">
        <v>45046</v>
      </c>
      <c r="B55" s="7" t="s">
        <v>105</v>
      </c>
      <c r="C55" s="7" t="s">
        <v>27</v>
      </c>
      <c r="D55" s="7" t="s">
        <v>104</v>
      </c>
      <c r="E55" s="7" t="s">
        <v>30</v>
      </c>
      <c r="F55" s="14">
        <v>487</v>
      </c>
      <c r="G55" s="15">
        <v>38.21</v>
      </c>
      <c r="H55" s="16">
        <v>3.290044892400535E-2</v>
      </c>
      <c r="I55" s="16">
        <v>9.8038391111994975E-3</v>
      </c>
      <c r="J55" s="15">
        <v>22.74</v>
      </c>
      <c r="K55" s="14">
        <v>42</v>
      </c>
      <c r="L55" s="14">
        <v>3</v>
      </c>
      <c r="M55" s="15">
        <v>5.65</v>
      </c>
      <c r="N55" s="17">
        <v>18608.27</v>
      </c>
      <c r="O55" s="17">
        <v>612.22043669910101</v>
      </c>
      <c r="P55" s="17">
        <v>176.43037455577399</v>
      </c>
      <c r="Q55" s="17">
        <v>17819.61918874512</v>
      </c>
      <c r="R55" s="17">
        <v>11074.38</v>
      </c>
      <c r="S55" s="17">
        <v>6745.2391887451249</v>
      </c>
      <c r="T55" s="17">
        <v>16.95</v>
      </c>
    </row>
    <row r="56" spans="1:20" x14ac:dyDescent="0.3">
      <c r="A56" s="13">
        <v>45046</v>
      </c>
      <c r="B56" s="7" t="s">
        <v>105</v>
      </c>
      <c r="C56" s="7" t="s">
        <v>29</v>
      </c>
      <c r="D56" s="7" t="s">
        <v>102</v>
      </c>
      <c r="E56" s="7" t="s">
        <v>25</v>
      </c>
      <c r="F56" s="14">
        <v>4508</v>
      </c>
      <c r="G56" s="15">
        <v>110.4</v>
      </c>
      <c r="H56" s="16">
        <v>4.4669558045803609E-2</v>
      </c>
      <c r="I56" s="16">
        <v>3.9444523011033808E-2</v>
      </c>
      <c r="J56" s="15">
        <v>69.53</v>
      </c>
      <c r="K56" s="14">
        <v>3118</v>
      </c>
      <c r="L56" s="14">
        <v>1301</v>
      </c>
      <c r="M56" s="15">
        <v>31.81</v>
      </c>
      <c r="N56" s="17">
        <v>497683.20000000001</v>
      </c>
      <c r="O56" s="17">
        <v>22231.288590821288</v>
      </c>
      <c r="P56" s="17">
        <v>18753.973860219361</v>
      </c>
      <c r="Q56" s="17">
        <v>456697.93754895939</v>
      </c>
      <c r="R56" s="17">
        <v>313441.24</v>
      </c>
      <c r="S56" s="17">
        <v>143256.6975489594</v>
      </c>
      <c r="T56" s="17">
        <v>41384.81</v>
      </c>
    </row>
    <row r="57" spans="1:20" x14ac:dyDescent="0.3">
      <c r="A57" s="13">
        <v>45046</v>
      </c>
      <c r="B57" s="7" t="s">
        <v>105</v>
      </c>
      <c r="C57" s="7" t="s">
        <v>29</v>
      </c>
      <c r="D57" s="7" t="s">
        <v>102</v>
      </c>
      <c r="E57" s="7" t="s">
        <v>28</v>
      </c>
      <c r="F57" s="14">
        <v>1078</v>
      </c>
      <c r="G57" s="15">
        <v>109.28</v>
      </c>
      <c r="H57" s="16">
        <v>9.4949076322307438E-2</v>
      </c>
      <c r="I57" s="16">
        <v>4.5901803205089672E-2</v>
      </c>
      <c r="J57" s="15">
        <v>67.680000000000007</v>
      </c>
      <c r="K57" s="14">
        <v>895</v>
      </c>
      <c r="L57" s="14">
        <v>247</v>
      </c>
      <c r="M57" s="15">
        <v>14.57</v>
      </c>
      <c r="N57" s="17">
        <v>117803.84</v>
      </c>
      <c r="O57" s="17">
        <v>11185.365795220891</v>
      </c>
      <c r="P57" s="17">
        <v>4893.9802209747004</v>
      </c>
      <c r="Q57" s="17">
        <v>101724.49398380439</v>
      </c>
      <c r="R57" s="17">
        <v>72959.040000000008</v>
      </c>
      <c r="S57" s="17">
        <v>28765.4539838044</v>
      </c>
      <c r="T57" s="17">
        <v>3598.79</v>
      </c>
    </row>
    <row r="58" spans="1:20" x14ac:dyDescent="0.3">
      <c r="A58" s="13">
        <v>45046</v>
      </c>
      <c r="B58" s="7" t="s">
        <v>105</v>
      </c>
      <c r="C58" s="7" t="s">
        <v>29</v>
      </c>
      <c r="D58" s="7" t="s">
        <v>102</v>
      </c>
      <c r="E58" s="7" t="s">
        <v>30</v>
      </c>
      <c r="F58" s="14">
        <v>1237</v>
      </c>
      <c r="G58" s="15">
        <v>94.94</v>
      </c>
      <c r="H58" s="16">
        <v>3.6818454289765358E-2</v>
      </c>
      <c r="I58" s="16">
        <v>1.6035635838688281E-2</v>
      </c>
      <c r="J58" s="15">
        <v>68.52</v>
      </c>
      <c r="K58" s="14">
        <v>107</v>
      </c>
      <c r="L58" s="14">
        <v>6</v>
      </c>
      <c r="M58" s="15">
        <v>4.07</v>
      </c>
      <c r="N58" s="17">
        <v>117440.78</v>
      </c>
      <c r="O58" s="17">
        <v>4323.9879901843897</v>
      </c>
      <c r="P58" s="17">
        <v>1813.8996839100471</v>
      </c>
      <c r="Q58" s="17">
        <v>111302.8923259056</v>
      </c>
      <c r="R58" s="17">
        <v>84759.239999999991</v>
      </c>
      <c r="S58" s="17">
        <v>26543.652325905568</v>
      </c>
      <c r="T58" s="17">
        <v>24.42</v>
      </c>
    </row>
    <row r="59" spans="1:20" x14ac:dyDescent="0.3">
      <c r="A59" s="13">
        <v>45046</v>
      </c>
      <c r="B59" s="7" t="s">
        <v>105</v>
      </c>
      <c r="C59" s="7" t="s">
        <v>29</v>
      </c>
      <c r="D59" s="7" t="s">
        <v>103</v>
      </c>
      <c r="E59" s="7" t="s">
        <v>25</v>
      </c>
      <c r="F59" s="14">
        <v>1415</v>
      </c>
      <c r="G59" s="15">
        <v>209.81</v>
      </c>
      <c r="H59" s="16">
        <v>5.370247042806673E-2</v>
      </c>
      <c r="I59" s="16">
        <v>4.2139799107342217E-2</v>
      </c>
      <c r="J59" s="15">
        <v>117.44</v>
      </c>
      <c r="K59" s="14">
        <v>929</v>
      </c>
      <c r="L59" s="14">
        <v>395</v>
      </c>
      <c r="M59" s="15">
        <v>30.73</v>
      </c>
      <c r="N59" s="17">
        <v>296881.15000000002</v>
      </c>
      <c r="O59" s="17">
        <v>15943.251178525439</v>
      </c>
      <c r="P59" s="17">
        <v>11838.66661797577</v>
      </c>
      <c r="Q59" s="17">
        <v>269099.23220349877</v>
      </c>
      <c r="R59" s="17">
        <v>166177.60000000001</v>
      </c>
      <c r="S59" s="17">
        <v>102921.6322034988</v>
      </c>
      <c r="T59" s="17">
        <v>12138.35</v>
      </c>
    </row>
    <row r="60" spans="1:20" x14ac:dyDescent="0.3">
      <c r="A60" s="13">
        <v>45046</v>
      </c>
      <c r="B60" s="7" t="s">
        <v>105</v>
      </c>
      <c r="C60" s="7" t="s">
        <v>29</v>
      </c>
      <c r="D60" s="7" t="s">
        <v>103</v>
      </c>
      <c r="E60" s="7" t="s">
        <v>28</v>
      </c>
      <c r="F60" s="14">
        <v>794</v>
      </c>
      <c r="G60" s="15">
        <v>194.21</v>
      </c>
      <c r="H60" s="16">
        <v>8.6286802088452796E-2</v>
      </c>
      <c r="I60" s="16">
        <v>2.547118252896623E-2</v>
      </c>
      <c r="J60" s="15">
        <v>112.48</v>
      </c>
      <c r="K60" s="14">
        <v>682</v>
      </c>
      <c r="L60" s="14">
        <v>198</v>
      </c>
      <c r="M60" s="15">
        <v>22.43</v>
      </c>
      <c r="N60" s="17">
        <v>154202.74</v>
      </c>
      <c r="O60" s="17">
        <v>13305.66130787715</v>
      </c>
      <c r="P60" s="17">
        <v>3588.81520916518</v>
      </c>
      <c r="Q60" s="17">
        <v>137308.2634829577</v>
      </c>
      <c r="R60" s="17">
        <v>89309.12000000001</v>
      </c>
      <c r="S60" s="17">
        <v>47999.14348295769</v>
      </c>
      <c r="T60" s="17">
        <v>4441.1400000000003</v>
      </c>
    </row>
    <row r="61" spans="1:20" x14ac:dyDescent="0.3">
      <c r="A61" s="13">
        <v>45046</v>
      </c>
      <c r="B61" s="7" t="s">
        <v>105</v>
      </c>
      <c r="C61" s="7" t="s">
        <v>29</v>
      </c>
      <c r="D61" s="7" t="s">
        <v>103</v>
      </c>
      <c r="E61" s="7" t="s">
        <v>30</v>
      </c>
      <c r="F61" s="14">
        <v>765</v>
      </c>
      <c r="G61" s="15">
        <v>173.23</v>
      </c>
      <c r="H61" s="16">
        <v>5.847328485073143E-2</v>
      </c>
      <c r="I61" s="16">
        <v>2.559787455717288E-2</v>
      </c>
      <c r="J61" s="15">
        <v>117.38</v>
      </c>
      <c r="K61" s="14">
        <v>63</v>
      </c>
      <c r="L61" s="14">
        <v>4</v>
      </c>
      <c r="M61" s="15">
        <v>4.1399999999999997</v>
      </c>
      <c r="N61" s="17">
        <v>132520.95000000001</v>
      </c>
      <c r="O61" s="17">
        <v>7748.9352580395362</v>
      </c>
      <c r="P61" s="17">
        <v>3193.8983816104292</v>
      </c>
      <c r="Q61" s="17">
        <v>121578.11636035</v>
      </c>
      <c r="R61" s="17">
        <v>89795.7</v>
      </c>
      <c r="S61" s="17">
        <v>31782.41636035002</v>
      </c>
      <c r="T61" s="17">
        <v>16.559999999999999</v>
      </c>
    </row>
    <row r="62" spans="1:20" x14ac:dyDescent="0.3">
      <c r="A62" s="13">
        <v>45046</v>
      </c>
      <c r="B62" s="7" t="s">
        <v>105</v>
      </c>
      <c r="C62" s="7" t="s">
        <v>29</v>
      </c>
      <c r="D62" s="7" t="s">
        <v>104</v>
      </c>
      <c r="E62" s="7" t="s">
        <v>25</v>
      </c>
      <c r="F62" s="14">
        <v>937</v>
      </c>
      <c r="G62" s="15">
        <v>41.35</v>
      </c>
      <c r="H62" s="16">
        <v>5.4180844041817257E-2</v>
      </c>
      <c r="I62" s="16">
        <v>2.918451996385605E-2</v>
      </c>
      <c r="J62" s="15">
        <v>22.7</v>
      </c>
      <c r="K62" s="14">
        <v>651</v>
      </c>
      <c r="L62" s="14">
        <v>236</v>
      </c>
      <c r="M62" s="15">
        <v>37.08</v>
      </c>
      <c r="N62" s="17">
        <v>38744.949999999997</v>
      </c>
      <c r="O62" s="17">
        <v>2099.2340933580081</v>
      </c>
      <c r="P62" s="17">
        <v>1069.487627467191</v>
      </c>
      <c r="Q62" s="17">
        <v>35576.228279174808</v>
      </c>
      <c r="R62" s="17">
        <v>21269.9</v>
      </c>
      <c r="S62" s="17">
        <v>14306.32827917481</v>
      </c>
      <c r="T62" s="17">
        <v>8750.8799999999992</v>
      </c>
    </row>
    <row r="63" spans="1:20" x14ac:dyDescent="0.3">
      <c r="A63" s="13">
        <v>45046</v>
      </c>
      <c r="B63" s="7" t="s">
        <v>105</v>
      </c>
      <c r="C63" s="7" t="s">
        <v>29</v>
      </c>
      <c r="D63" s="7" t="s">
        <v>104</v>
      </c>
      <c r="E63" s="7" t="s">
        <v>28</v>
      </c>
      <c r="F63" s="14">
        <v>568</v>
      </c>
      <c r="G63" s="15">
        <v>39.44</v>
      </c>
      <c r="H63" s="16">
        <v>0.11056217504314041</v>
      </c>
      <c r="I63" s="16">
        <v>6.8083650655269876E-2</v>
      </c>
      <c r="J63" s="15">
        <v>20.93</v>
      </c>
      <c r="K63" s="14">
        <v>501</v>
      </c>
      <c r="L63" s="14">
        <v>151</v>
      </c>
      <c r="M63" s="15">
        <v>17.38</v>
      </c>
      <c r="N63" s="17">
        <v>22401.919999999998</v>
      </c>
      <c r="O63" s="17">
        <v>2476.8050003424269</v>
      </c>
      <c r="P63" s="17">
        <v>1356.574568902764</v>
      </c>
      <c r="Q63" s="17">
        <v>18568.540430754809</v>
      </c>
      <c r="R63" s="17">
        <v>11888.24</v>
      </c>
      <c r="S63" s="17">
        <v>6680.3004307548053</v>
      </c>
      <c r="T63" s="17">
        <v>2624.38</v>
      </c>
    </row>
    <row r="64" spans="1:20" x14ac:dyDescent="0.3">
      <c r="A64" s="13">
        <v>45046</v>
      </c>
      <c r="B64" s="7" t="s">
        <v>105</v>
      </c>
      <c r="C64" s="7" t="s">
        <v>29</v>
      </c>
      <c r="D64" s="7" t="s">
        <v>104</v>
      </c>
      <c r="E64" s="7" t="s">
        <v>30</v>
      </c>
      <c r="F64" s="14">
        <v>389</v>
      </c>
      <c r="G64" s="15">
        <v>36.840000000000003</v>
      </c>
      <c r="H64" s="16">
        <v>3.1608594557085153E-2</v>
      </c>
      <c r="I64" s="16">
        <v>2.281484618345286E-2</v>
      </c>
      <c r="J64" s="15">
        <v>21.18</v>
      </c>
      <c r="K64" s="14">
        <v>31</v>
      </c>
      <c r="L64" s="14">
        <v>2</v>
      </c>
      <c r="M64" s="15">
        <v>4.5599999999999996</v>
      </c>
      <c r="N64" s="17">
        <v>14330.76</v>
      </c>
      <c r="O64" s="17">
        <v>452.97518253489369</v>
      </c>
      <c r="P64" s="17">
        <v>316.61952597752378</v>
      </c>
      <c r="Q64" s="17">
        <v>13561.165291487579</v>
      </c>
      <c r="R64" s="17">
        <v>8239.02</v>
      </c>
      <c r="S64" s="17">
        <v>5322.1452914875836</v>
      </c>
      <c r="T64" s="17">
        <v>9.1199999999999992</v>
      </c>
    </row>
    <row r="65" spans="1:20" x14ac:dyDescent="0.3">
      <c r="A65" s="13">
        <v>45046</v>
      </c>
      <c r="B65" s="7" t="s">
        <v>105</v>
      </c>
      <c r="C65" s="7" t="s">
        <v>31</v>
      </c>
      <c r="D65" s="7" t="s">
        <v>102</v>
      </c>
      <c r="E65" s="7" t="s">
        <v>25</v>
      </c>
      <c r="F65" s="14">
        <v>1406</v>
      </c>
      <c r="G65" s="15">
        <v>103.72</v>
      </c>
      <c r="H65" s="16">
        <v>6.2434111432018539E-2</v>
      </c>
      <c r="I65" s="16">
        <v>3.9497618905508632E-2</v>
      </c>
      <c r="J65" s="15">
        <v>66.16</v>
      </c>
      <c r="K65" s="14">
        <v>936</v>
      </c>
      <c r="L65" s="14">
        <v>357</v>
      </c>
      <c r="M65" s="15">
        <v>26.77</v>
      </c>
      <c r="N65" s="17">
        <v>145830.32</v>
      </c>
      <c r="O65" s="17">
        <v>9104.7864490469219</v>
      </c>
      <c r="P65" s="17">
        <v>5400.3330188478794</v>
      </c>
      <c r="Q65" s="17">
        <v>131325.2005321052</v>
      </c>
      <c r="R65" s="17">
        <v>93020.959999999992</v>
      </c>
      <c r="S65" s="17">
        <v>38304.240532105207</v>
      </c>
      <c r="T65" s="17">
        <v>9556.89</v>
      </c>
    </row>
    <row r="66" spans="1:20" x14ac:dyDescent="0.3">
      <c r="A66" s="13">
        <v>45046</v>
      </c>
      <c r="B66" s="7" t="s">
        <v>105</v>
      </c>
      <c r="C66" s="7" t="s">
        <v>31</v>
      </c>
      <c r="D66" s="7" t="s">
        <v>102</v>
      </c>
      <c r="E66" s="7" t="s">
        <v>28</v>
      </c>
      <c r="F66" s="14">
        <v>641</v>
      </c>
      <c r="G66" s="15">
        <v>97.13</v>
      </c>
      <c r="H66" s="16">
        <v>9.134098612329454E-2</v>
      </c>
      <c r="I66" s="16">
        <v>7.1270806850576823E-2</v>
      </c>
      <c r="J66" s="15">
        <v>63.3</v>
      </c>
      <c r="K66" s="14">
        <v>550</v>
      </c>
      <c r="L66" s="14">
        <v>170</v>
      </c>
      <c r="M66" s="15">
        <v>19.760000000000002</v>
      </c>
      <c r="N66" s="17">
        <v>62260.329999999987</v>
      </c>
      <c r="O66" s="17">
        <v>5686.9199385617376</v>
      </c>
      <c r="P66" s="17">
        <v>4032.0325813672448</v>
      </c>
      <c r="Q66" s="17">
        <v>52541.377480071009</v>
      </c>
      <c r="R66" s="17">
        <v>40575.300000000003</v>
      </c>
      <c r="S66" s="17">
        <v>11966.07748007101</v>
      </c>
      <c r="T66" s="17">
        <v>3359.2</v>
      </c>
    </row>
    <row r="67" spans="1:20" x14ac:dyDescent="0.3">
      <c r="A67" s="13">
        <v>45046</v>
      </c>
      <c r="B67" s="7" t="s">
        <v>105</v>
      </c>
      <c r="C67" s="7" t="s">
        <v>31</v>
      </c>
      <c r="D67" s="7" t="s">
        <v>102</v>
      </c>
      <c r="E67" s="7" t="s">
        <v>30</v>
      </c>
      <c r="F67" s="14">
        <v>505</v>
      </c>
      <c r="G67" s="15">
        <v>82.93</v>
      </c>
      <c r="H67" s="16">
        <v>3.023474537270102E-2</v>
      </c>
      <c r="I67" s="16">
        <v>2.0240424733306912E-2</v>
      </c>
      <c r="J67" s="15">
        <v>67.150000000000006</v>
      </c>
      <c r="K67" s="14">
        <v>43</v>
      </c>
      <c r="L67" s="14">
        <v>2</v>
      </c>
      <c r="M67" s="15">
        <v>4.1900000000000004</v>
      </c>
      <c r="N67" s="17">
        <v>41879.65</v>
      </c>
      <c r="O67" s="17">
        <v>1266.220554047839</v>
      </c>
      <c r="P67" s="17">
        <v>822.03306186226541</v>
      </c>
      <c r="Q67" s="17">
        <v>39791.396384089887</v>
      </c>
      <c r="R67" s="17">
        <v>33910.75</v>
      </c>
      <c r="S67" s="17">
        <v>5880.6463840898941</v>
      </c>
      <c r="T67" s="17">
        <v>8.3800000000000008</v>
      </c>
    </row>
    <row r="68" spans="1:20" x14ac:dyDescent="0.3">
      <c r="A68" s="13">
        <v>45046</v>
      </c>
      <c r="B68" s="7" t="s">
        <v>105</v>
      </c>
      <c r="C68" s="7" t="s">
        <v>31</v>
      </c>
      <c r="D68" s="7" t="s">
        <v>103</v>
      </c>
      <c r="E68" s="7" t="s">
        <v>25</v>
      </c>
      <c r="F68" s="14">
        <v>797</v>
      </c>
      <c r="G68" s="15">
        <v>188.3</v>
      </c>
      <c r="H68" s="16">
        <v>5.413347502978056E-2</v>
      </c>
      <c r="I68" s="16">
        <v>4.0473986713164142E-2</v>
      </c>
      <c r="J68" s="15">
        <v>111.28</v>
      </c>
      <c r="K68" s="14">
        <v>513</v>
      </c>
      <c r="L68" s="14">
        <v>194</v>
      </c>
      <c r="M68" s="15">
        <v>29.78</v>
      </c>
      <c r="N68" s="17">
        <v>150075.1</v>
      </c>
      <c r="O68" s="17">
        <v>8124.0866784418213</v>
      </c>
      <c r="P68" s="17">
        <v>5745.3234270969324</v>
      </c>
      <c r="Q68" s="17">
        <v>136205.68989446119</v>
      </c>
      <c r="R68" s="17">
        <v>88690.16</v>
      </c>
      <c r="S68" s="17">
        <v>47515.529894461237</v>
      </c>
      <c r="T68" s="17">
        <v>5777.3200000000006</v>
      </c>
    </row>
    <row r="69" spans="1:20" x14ac:dyDescent="0.3">
      <c r="A69" s="13">
        <v>45046</v>
      </c>
      <c r="B69" s="7" t="s">
        <v>105</v>
      </c>
      <c r="C69" s="7" t="s">
        <v>31</v>
      </c>
      <c r="D69" s="7" t="s">
        <v>103</v>
      </c>
      <c r="E69" s="7" t="s">
        <v>28</v>
      </c>
      <c r="F69" s="14">
        <v>387</v>
      </c>
      <c r="G69" s="15">
        <v>177.37</v>
      </c>
      <c r="H69" s="16">
        <v>9.7152356401856321E-2</v>
      </c>
      <c r="I69" s="16">
        <v>8.1623529309868506E-2</v>
      </c>
      <c r="J69" s="15">
        <v>105.76</v>
      </c>
      <c r="K69" s="14">
        <v>315</v>
      </c>
      <c r="L69" s="14">
        <v>99</v>
      </c>
      <c r="M69" s="15">
        <v>15.42</v>
      </c>
      <c r="N69" s="17">
        <v>68642.19</v>
      </c>
      <c r="O69" s="17">
        <v>6668.7505070839379</v>
      </c>
      <c r="P69" s="17">
        <v>5058.4908548833964</v>
      </c>
      <c r="Q69" s="17">
        <v>56914.948638032663</v>
      </c>
      <c r="R69" s="17">
        <v>40929.120000000003</v>
      </c>
      <c r="S69" s="17">
        <v>15985.828638032661</v>
      </c>
      <c r="T69" s="17">
        <v>1526.58</v>
      </c>
    </row>
    <row r="70" spans="1:20" x14ac:dyDescent="0.3">
      <c r="A70" s="13">
        <v>45046</v>
      </c>
      <c r="B70" s="7" t="s">
        <v>105</v>
      </c>
      <c r="C70" s="7" t="s">
        <v>31</v>
      </c>
      <c r="D70" s="7" t="s">
        <v>103</v>
      </c>
      <c r="E70" s="7" t="s">
        <v>30</v>
      </c>
      <c r="F70" s="14">
        <v>287</v>
      </c>
      <c r="G70" s="15">
        <v>156.82</v>
      </c>
      <c r="H70" s="16">
        <v>4.0519538724837399E-2</v>
      </c>
      <c r="I70" s="16">
        <v>1.92216138230396E-2</v>
      </c>
      <c r="J70" s="15">
        <v>118.23</v>
      </c>
      <c r="K70" s="14">
        <v>24</v>
      </c>
      <c r="L70" s="14">
        <v>1</v>
      </c>
      <c r="M70" s="15">
        <v>5.23</v>
      </c>
      <c r="N70" s="17">
        <v>45007.34</v>
      </c>
      <c r="O70" s="17">
        <v>1823.6766560319229</v>
      </c>
      <c r="P70" s="17">
        <v>830.05970026190539</v>
      </c>
      <c r="Q70" s="17">
        <v>42353.60364370617</v>
      </c>
      <c r="R70" s="17">
        <v>33932.01</v>
      </c>
      <c r="S70" s="17">
        <v>8421.5936437061682</v>
      </c>
      <c r="T70" s="17">
        <v>5.23</v>
      </c>
    </row>
    <row r="71" spans="1:20" x14ac:dyDescent="0.3">
      <c r="A71" s="13">
        <v>45046</v>
      </c>
      <c r="B71" s="7" t="s">
        <v>105</v>
      </c>
      <c r="C71" s="7" t="s">
        <v>31</v>
      </c>
      <c r="D71" s="7" t="s">
        <v>104</v>
      </c>
      <c r="E71" s="7" t="s">
        <v>25</v>
      </c>
      <c r="F71" s="14">
        <v>604</v>
      </c>
      <c r="G71" s="15">
        <v>39.29</v>
      </c>
      <c r="H71" s="16">
        <v>6.3550069281404678E-2</v>
      </c>
      <c r="I71" s="16">
        <v>3.5790155191797367E-2</v>
      </c>
      <c r="J71" s="15">
        <v>21.12</v>
      </c>
      <c r="K71" s="14">
        <v>410</v>
      </c>
      <c r="L71" s="14">
        <v>151</v>
      </c>
      <c r="M71" s="15">
        <v>43.95</v>
      </c>
      <c r="N71" s="17">
        <v>23731.16</v>
      </c>
      <c r="O71" s="17">
        <v>1508.116862128099</v>
      </c>
      <c r="P71" s="17">
        <v>795.36616273844299</v>
      </c>
      <c r="Q71" s="17">
        <v>21427.676975133461</v>
      </c>
      <c r="R71" s="17">
        <v>12756.48</v>
      </c>
      <c r="S71" s="17">
        <v>8671.1969751334564</v>
      </c>
      <c r="T71" s="17">
        <v>6636.4500000000007</v>
      </c>
    </row>
    <row r="72" spans="1:20" x14ac:dyDescent="0.3">
      <c r="A72" s="13">
        <v>45046</v>
      </c>
      <c r="B72" s="7" t="s">
        <v>105</v>
      </c>
      <c r="C72" s="7" t="s">
        <v>31</v>
      </c>
      <c r="D72" s="7" t="s">
        <v>104</v>
      </c>
      <c r="E72" s="7" t="s">
        <v>28</v>
      </c>
      <c r="F72" s="14">
        <v>302</v>
      </c>
      <c r="G72" s="15">
        <v>36.950000000000003</v>
      </c>
      <c r="H72" s="16">
        <v>6.2485318775098983E-2</v>
      </c>
      <c r="I72" s="16">
        <v>4.487870533623893E-2</v>
      </c>
      <c r="J72" s="15">
        <v>19.77</v>
      </c>
      <c r="K72" s="14">
        <v>248</v>
      </c>
      <c r="L72" s="14">
        <v>80</v>
      </c>
      <c r="M72" s="15">
        <v>16.86</v>
      </c>
      <c r="N72" s="17">
        <v>11158.9</v>
      </c>
      <c r="O72" s="17">
        <v>697.26742367945201</v>
      </c>
      <c r="P72" s="17">
        <v>469.50452572868812</v>
      </c>
      <c r="Q72" s="17">
        <v>9992.1280505918621</v>
      </c>
      <c r="R72" s="17">
        <v>5970.54</v>
      </c>
      <c r="S72" s="17">
        <v>4021.5880505918622</v>
      </c>
      <c r="T72" s="17">
        <v>1348.8</v>
      </c>
    </row>
    <row r="73" spans="1:20" x14ac:dyDescent="0.3">
      <c r="A73" s="13">
        <v>45046</v>
      </c>
      <c r="B73" s="7" t="s">
        <v>105</v>
      </c>
      <c r="C73" s="7" t="s">
        <v>31</v>
      </c>
      <c r="D73" s="7" t="s">
        <v>104</v>
      </c>
      <c r="E73" s="7" t="s">
        <v>30</v>
      </c>
      <c r="F73" s="14">
        <v>207</v>
      </c>
      <c r="G73" s="15">
        <v>32.39</v>
      </c>
      <c r="H73" s="16">
        <v>4.4976433487100939E-2</v>
      </c>
      <c r="I73" s="16">
        <v>8.944323454960575E-3</v>
      </c>
      <c r="J73" s="15">
        <v>21.09</v>
      </c>
      <c r="K73" s="14">
        <v>18</v>
      </c>
      <c r="L73" s="14">
        <v>1</v>
      </c>
      <c r="M73" s="15">
        <v>5.69</v>
      </c>
      <c r="N73" s="17">
        <v>6704.73</v>
      </c>
      <c r="O73" s="17">
        <v>301.55484289397032</v>
      </c>
      <c r="P73" s="17">
        <v>57.272069743924327</v>
      </c>
      <c r="Q73" s="17">
        <v>6345.9030873621059</v>
      </c>
      <c r="R73" s="17">
        <v>4365.63</v>
      </c>
      <c r="S73" s="17">
        <v>1980.273087362106</v>
      </c>
      <c r="T73" s="17">
        <v>5.69</v>
      </c>
    </row>
    <row r="74" spans="1:20" x14ac:dyDescent="0.3">
      <c r="A74" s="13">
        <v>45077</v>
      </c>
      <c r="B74" s="7" t="s">
        <v>106</v>
      </c>
      <c r="C74" s="7" t="s">
        <v>24</v>
      </c>
      <c r="D74" s="7" t="s">
        <v>102</v>
      </c>
      <c r="E74" s="7" t="s">
        <v>25</v>
      </c>
      <c r="F74" s="14">
        <v>7807</v>
      </c>
      <c r="G74" s="15">
        <v>122.63</v>
      </c>
      <c r="H74" s="16">
        <v>8.0436235720239557E-2</v>
      </c>
      <c r="I74" s="16">
        <v>4.1818662550584959E-2</v>
      </c>
      <c r="J74" s="15">
        <v>70.8</v>
      </c>
      <c r="K74" s="14">
        <v>5457</v>
      </c>
      <c r="L74" s="14">
        <v>2022</v>
      </c>
      <c r="M74" s="15">
        <v>29.35</v>
      </c>
      <c r="N74" s="17">
        <v>957372.40999999992</v>
      </c>
      <c r="O74" s="17">
        <v>77007.432842813825</v>
      </c>
      <c r="P74" s="17">
        <v>36815.685901089797</v>
      </c>
      <c r="Q74" s="17">
        <v>843549.29125609633</v>
      </c>
      <c r="R74" s="17">
        <v>552735.6</v>
      </c>
      <c r="S74" s="17">
        <v>290813.69125609641</v>
      </c>
      <c r="T74" s="17">
        <v>59345.7</v>
      </c>
    </row>
    <row r="75" spans="1:20" x14ac:dyDescent="0.3">
      <c r="A75" s="13">
        <v>45077</v>
      </c>
      <c r="B75" s="7" t="s">
        <v>106</v>
      </c>
      <c r="C75" s="7" t="s">
        <v>24</v>
      </c>
      <c r="D75" s="7" t="s">
        <v>102</v>
      </c>
      <c r="E75" s="7" t="s">
        <v>28</v>
      </c>
      <c r="F75" s="14">
        <v>2479</v>
      </c>
      <c r="G75" s="15">
        <v>113.68</v>
      </c>
      <c r="H75" s="16">
        <v>8.3551624468670913E-2</v>
      </c>
      <c r="I75" s="16">
        <v>6.7184697386195882E-2</v>
      </c>
      <c r="J75" s="15">
        <v>70.98</v>
      </c>
      <c r="K75" s="14">
        <v>2134</v>
      </c>
      <c r="L75" s="14">
        <v>607</v>
      </c>
      <c r="M75" s="15">
        <v>21.36</v>
      </c>
      <c r="N75" s="17">
        <v>281812.71999999997</v>
      </c>
      <c r="O75" s="17">
        <v>23545.91055193471</v>
      </c>
      <c r="P75" s="17">
        <v>17351.577437666579</v>
      </c>
      <c r="Q75" s="17">
        <v>240915.2320103987</v>
      </c>
      <c r="R75" s="17">
        <v>175959.42</v>
      </c>
      <c r="S75" s="17">
        <v>64955.812010398717</v>
      </c>
      <c r="T75" s="17">
        <v>12965.52</v>
      </c>
    </row>
    <row r="76" spans="1:20" x14ac:dyDescent="0.3">
      <c r="A76" s="13">
        <v>45077</v>
      </c>
      <c r="B76" s="7" t="s">
        <v>106</v>
      </c>
      <c r="C76" s="7" t="s">
        <v>24</v>
      </c>
      <c r="D76" s="7" t="s">
        <v>102</v>
      </c>
      <c r="E76" s="7" t="s">
        <v>30</v>
      </c>
      <c r="F76" s="14">
        <v>2108</v>
      </c>
      <c r="G76" s="15">
        <v>97.89</v>
      </c>
      <c r="H76" s="16">
        <v>4.2263802958269113E-2</v>
      </c>
      <c r="I76" s="16">
        <v>2.3784943083226762E-2</v>
      </c>
      <c r="J76" s="15">
        <v>68.34</v>
      </c>
      <c r="K76" s="14">
        <v>174</v>
      </c>
      <c r="L76" s="14">
        <v>10</v>
      </c>
      <c r="M76" s="15">
        <v>5.78</v>
      </c>
      <c r="N76" s="17">
        <v>206352.12</v>
      </c>
      <c r="O76" s="17">
        <v>8721.2253397011027</v>
      </c>
      <c r="P76" s="17">
        <v>4700.6395809823916</v>
      </c>
      <c r="Q76" s="17">
        <v>192930.2550793165</v>
      </c>
      <c r="R76" s="17">
        <v>144060.72</v>
      </c>
      <c r="S76" s="17">
        <v>48869.535079316498</v>
      </c>
      <c r="T76" s="17">
        <v>57.8</v>
      </c>
    </row>
    <row r="77" spans="1:20" x14ac:dyDescent="0.3">
      <c r="A77" s="13">
        <v>45077</v>
      </c>
      <c r="B77" s="7" t="s">
        <v>106</v>
      </c>
      <c r="C77" s="7" t="s">
        <v>24</v>
      </c>
      <c r="D77" s="7" t="s">
        <v>103</v>
      </c>
      <c r="E77" s="7" t="s">
        <v>25</v>
      </c>
      <c r="F77" s="14">
        <v>3687</v>
      </c>
      <c r="G77" s="15">
        <v>217.04</v>
      </c>
      <c r="H77" s="16">
        <v>4.8798107670197252E-2</v>
      </c>
      <c r="I77" s="16">
        <v>2.221279751095722E-2</v>
      </c>
      <c r="J77" s="15">
        <v>125.89</v>
      </c>
      <c r="K77" s="14">
        <v>2585</v>
      </c>
      <c r="L77" s="14">
        <v>1093</v>
      </c>
      <c r="M77" s="15">
        <v>35.770000000000003</v>
      </c>
      <c r="N77" s="17">
        <v>800226.48</v>
      </c>
      <c r="O77" s="17">
        <v>39049.537931582941</v>
      </c>
      <c r="P77" s="17">
        <v>16907.869284175358</v>
      </c>
      <c r="Q77" s="17">
        <v>744269.07278424175</v>
      </c>
      <c r="R77" s="17">
        <v>464156.43</v>
      </c>
      <c r="S77" s="17">
        <v>280112.64278424182</v>
      </c>
      <c r="T77" s="17">
        <v>39096.61</v>
      </c>
    </row>
    <row r="78" spans="1:20" x14ac:dyDescent="0.3">
      <c r="A78" s="13">
        <v>45077</v>
      </c>
      <c r="B78" s="7" t="s">
        <v>106</v>
      </c>
      <c r="C78" s="7" t="s">
        <v>24</v>
      </c>
      <c r="D78" s="7" t="s">
        <v>103</v>
      </c>
      <c r="E78" s="7" t="s">
        <v>28</v>
      </c>
      <c r="F78" s="14">
        <v>1300</v>
      </c>
      <c r="G78" s="15">
        <v>220.76</v>
      </c>
      <c r="H78" s="16">
        <v>9.1744485956665553E-2</v>
      </c>
      <c r="I78" s="16">
        <v>6.1640921919073402E-2</v>
      </c>
      <c r="J78" s="15">
        <v>123.1</v>
      </c>
      <c r="K78" s="14">
        <v>1095</v>
      </c>
      <c r="L78" s="14">
        <v>306</v>
      </c>
      <c r="M78" s="15">
        <v>19.559999999999999</v>
      </c>
      <c r="N78" s="17">
        <v>286988</v>
      </c>
      <c r="O78" s="17">
        <v>26329.56653573153</v>
      </c>
      <c r="P78" s="17">
        <v>16067.226144718959</v>
      </c>
      <c r="Q78" s="17">
        <v>244591.20731954949</v>
      </c>
      <c r="R78" s="17">
        <v>160030</v>
      </c>
      <c r="S78" s="17">
        <v>84561.207319549489</v>
      </c>
      <c r="T78" s="17">
        <v>5985.36</v>
      </c>
    </row>
    <row r="79" spans="1:20" x14ac:dyDescent="0.3">
      <c r="A79" s="13">
        <v>45077</v>
      </c>
      <c r="B79" s="7" t="s">
        <v>106</v>
      </c>
      <c r="C79" s="7" t="s">
        <v>24</v>
      </c>
      <c r="D79" s="7" t="s">
        <v>103</v>
      </c>
      <c r="E79" s="7" t="s">
        <v>30</v>
      </c>
      <c r="F79" s="14">
        <v>1093</v>
      </c>
      <c r="G79" s="15">
        <v>190.02</v>
      </c>
      <c r="H79" s="16">
        <v>4.8072520276929868E-2</v>
      </c>
      <c r="I79" s="16">
        <v>2.796593313319699E-2</v>
      </c>
      <c r="J79" s="15">
        <v>118.63</v>
      </c>
      <c r="K79" s="14">
        <v>88</v>
      </c>
      <c r="L79" s="14">
        <v>5</v>
      </c>
      <c r="M79" s="15">
        <v>4.1100000000000003</v>
      </c>
      <c r="N79" s="17">
        <v>207691.86</v>
      </c>
      <c r="O79" s="17">
        <v>9984.2711512032802</v>
      </c>
      <c r="P79" s="17">
        <v>5529.0772096710516</v>
      </c>
      <c r="Q79" s="17">
        <v>192178.5116391257</v>
      </c>
      <c r="R79" s="17">
        <v>129662.59</v>
      </c>
      <c r="S79" s="17">
        <v>62515.921639125678</v>
      </c>
      <c r="T79" s="17">
        <v>20.55</v>
      </c>
    </row>
    <row r="80" spans="1:20" x14ac:dyDescent="0.3">
      <c r="A80" s="13">
        <v>45077</v>
      </c>
      <c r="B80" s="7" t="s">
        <v>106</v>
      </c>
      <c r="C80" s="7" t="s">
        <v>24</v>
      </c>
      <c r="D80" s="7" t="s">
        <v>104</v>
      </c>
      <c r="E80" s="7" t="s">
        <v>25</v>
      </c>
      <c r="F80" s="14">
        <v>2259</v>
      </c>
      <c r="G80" s="15">
        <v>43.35</v>
      </c>
      <c r="H80" s="16">
        <v>7.3765952875145521E-2</v>
      </c>
      <c r="I80" s="16">
        <v>3.8419921014210108E-2</v>
      </c>
      <c r="J80" s="15">
        <v>21.81</v>
      </c>
      <c r="K80" s="14">
        <v>1561</v>
      </c>
      <c r="L80" s="14">
        <v>632</v>
      </c>
      <c r="M80" s="15">
        <v>26.17</v>
      </c>
      <c r="N80" s="17">
        <v>97927.650000000009</v>
      </c>
      <c r="O80" s="17">
        <v>7223.7264150737446</v>
      </c>
      <c r="P80" s="17">
        <v>3484.8375798118159</v>
      </c>
      <c r="Q80" s="17">
        <v>87219.086005114441</v>
      </c>
      <c r="R80" s="17">
        <v>49268.789999999994</v>
      </c>
      <c r="S80" s="17">
        <v>37950.296005114447</v>
      </c>
      <c r="T80" s="17">
        <v>16539.439999999999</v>
      </c>
    </row>
    <row r="81" spans="1:20" x14ac:dyDescent="0.3">
      <c r="A81" s="13">
        <v>45077</v>
      </c>
      <c r="B81" s="7" t="s">
        <v>106</v>
      </c>
      <c r="C81" s="7" t="s">
        <v>24</v>
      </c>
      <c r="D81" s="7" t="s">
        <v>104</v>
      </c>
      <c r="E81" s="7" t="s">
        <v>28</v>
      </c>
      <c r="F81" s="14">
        <v>780</v>
      </c>
      <c r="G81" s="15">
        <v>41.18</v>
      </c>
      <c r="H81" s="16">
        <v>7.2516436577141186E-2</v>
      </c>
      <c r="I81" s="16">
        <v>5.4963229510648068E-2</v>
      </c>
      <c r="J81" s="15">
        <v>23.19</v>
      </c>
      <c r="K81" s="14">
        <v>671</v>
      </c>
      <c r="L81" s="14">
        <v>202</v>
      </c>
      <c r="M81" s="15">
        <v>17.16</v>
      </c>
      <c r="N81" s="17">
        <v>32120.400000000001</v>
      </c>
      <c r="O81" s="17">
        <v>2329.2569494324061</v>
      </c>
      <c r="P81" s="17">
        <v>1637.417432872895</v>
      </c>
      <c r="Q81" s="17">
        <v>28153.725617694701</v>
      </c>
      <c r="R81" s="17">
        <v>18088.2</v>
      </c>
      <c r="S81" s="17">
        <v>10065.5256176947</v>
      </c>
      <c r="T81" s="17">
        <v>3466.32</v>
      </c>
    </row>
    <row r="82" spans="1:20" x14ac:dyDescent="0.3">
      <c r="A82" s="13">
        <v>45077</v>
      </c>
      <c r="B82" s="7" t="s">
        <v>106</v>
      </c>
      <c r="C82" s="7" t="s">
        <v>24</v>
      </c>
      <c r="D82" s="7" t="s">
        <v>104</v>
      </c>
      <c r="E82" s="7" t="s">
        <v>30</v>
      </c>
      <c r="F82" s="14">
        <v>641</v>
      </c>
      <c r="G82" s="15">
        <v>34.619999999999997</v>
      </c>
      <c r="H82" s="16">
        <v>3.9674230800893127E-2</v>
      </c>
      <c r="I82" s="16">
        <v>1.8845327348956609E-2</v>
      </c>
      <c r="J82" s="15">
        <v>22.55</v>
      </c>
      <c r="K82" s="14">
        <v>53</v>
      </c>
      <c r="L82" s="14">
        <v>3</v>
      </c>
      <c r="M82" s="15">
        <v>6.66</v>
      </c>
      <c r="N82" s="17">
        <v>22191.42</v>
      </c>
      <c r="O82" s="17">
        <v>880.42751887955569</v>
      </c>
      <c r="P82" s="17">
        <v>401.61262943786778</v>
      </c>
      <c r="Q82" s="17">
        <v>20909.379851682581</v>
      </c>
      <c r="R82" s="17">
        <v>14454.55</v>
      </c>
      <c r="S82" s="17">
        <v>6454.8298516825762</v>
      </c>
      <c r="T82" s="17">
        <v>19.98</v>
      </c>
    </row>
    <row r="83" spans="1:20" x14ac:dyDescent="0.3">
      <c r="A83" s="13">
        <v>45077</v>
      </c>
      <c r="B83" s="7" t="s">
        <v>106</v>
      </c>
      <c r="C83" s="7" t="s">
        <v>27</v>
      </c>
      <c r="D83" s="7" t="s">
        <v>102</v>
      </c>
      <c r="E83" s="7" t="s">
        <v>25</v>
      </c>
      <c r="F83" s="14">
        <v>5448</v>
      </c>
      <c r="G83" s="15">
        <v>138.77000000000001</v>
      </c>
      <c r="H83" s="16">
        <v>6.0532965906130387E-2</v>
      </c>
      <c r="I83" s="16">
        <v>4.0139292919129467E-2</v>
      </c>
      <c r="J83" s="15">
        <v>73.040000000000006</v>
      </c>
      <c r="K83" s="14">
        <v>3717</v>
      </c>
      <c r="L83" s="14">
        <v>1319</v>
      </c>
      <c r="M83" s="15">
        <v>33.14</v>
      </c>
      <c r="N83" s="17">
        <v>756018.96000000008</v>
      </c>
      <c r="O83" s="17">
        <v>45764.069930068174</v>
      </c>
      <c r="P83" s="17">
        <v>28509.129079761089</v>
      </c>
      <c r="Q83" s="17">
        <v>681745.76099017076</v>
      </c>
      <c r="R83" s="17">
        <v>397921.92</v>
      </c>
      <c r="S83" s="17">
        <v>283823.84099017072</v>
      </c>
      <c r="T83" s="17">
        <v>43711.66</v>
      </c>
    </row>
    <row r="84" spans="1:20" x14ac:dyDescent="0.3">
      <c r="A84" s="13">
        <v>45077</v>
      </c>
      <c r="B84" s="7" t="s">
        <v>106</v>
      </c>
      <c r="C84" s="7" t="s">
        <v>27</v>
      </c>
      <c r="D84" s="7" t="s">
        <v>102</v>
      </c>
      <c r="E84" s="7" t="s">
        <v>28</v>
      </c>
      <c r="F84" s="14">
        <v>1970</v>
      </c>
      <c r="G84" s="15">
        <v>122.46</v>
      </c>
      <c r="H84" s="16">
        <v>8.2663765589694169E-2</v>
      </c>
      <c r="I84" s="16">
        <v>4.9307313259842528E-2</v>
      </c>
      <c r="J84" s="15">
        <v>73.319999999999993</v>
      </c>
      <c r="K84" s="14">
        <v>1604</v>
      </c>
      <c r="L84" s="14">
        <v>465</v>
      </c>
      <c r="M84" s="15">
        <v>17.170000000000002</v>
      </c>
      <c r="N84" s="17">
        <v>241246.2</v>
      </c>
      <c r="O84" s="17">
        <v>19942.319326204481</v>
      </c>
      <c r="P84" s="17">
        <v>10911.89977000165</v>
      </c>
      <c r="Q84" s="17">
        <v>210391.98090379391</v>
      </c>
      <c r="R84" s="17">
        <v>144440.4</v>
      </c>
      <c r="S84" s="17">
        <v>65951.58090379386</v>
      </c>
      <c r="T84" s="17">
        <v>7984.0500000000011</v>
      </c>
    </row>
    <row r="85" spans="1:20" x14ac:dyDescent="0.3">
      <c r="A85" s="13">
        <v>45077</v>
      </c>
      <c r="B85" s="7" t="s">
        <v>106</v>
      </c>
      <c r="C85" s="7" t="s">
        <v>27</v>
      </c>
      <c r="D85" s="7" t="s">
        <v>102</v>
      </c>
      <c r="E85" s="7" t="s">
        <v>30</v>
      </c>
      <c r="F85" s="14">
        <v>2120</v>
      </c>
      <c r="G85" s="15">
        <v>110.24</v>
      </c>
      <c r="H85" s="16">
        <v>2.755965860555111E-2</v>
      </c>
      <c r="I85" s="16">
        <v>1.8286562029598261E-2</v>
      </c>
      <c r="J85" s="15">
        <v>72.28</v>
      </c>
      <c r="K85" s="14">
        <v>158</v>
      </c>
      <c r="L85" s="14">
        <v>10</v>
      </c>
      <c r="M85" s="15">
        <v>3.73</v>
      </c>
      <c r="N85" s="17">
        <v>233708.79999999999</v>
      </c>
      <c r="O85" s="17">
        <v>6440.934741113022</v>
      </c>
      <c r="P85" s="17">
        <v>4155.9479153910152</v>
      </c>
      <c r="Q85" s="17">
        <v>223111.917343496</v>
      </c>
      <c r="R85" s="17">
        <v>153233.60000000001</v>
      </c>
      <c r="S85" s="17">
        <v>69878.317343495961</v>
      </c>
      <c r="T85" s="17">
        <v>37.299999999999997</v>
      </c>
    </row>
    <row r="86" spans="1:20" x14ac:dyDescent="0.3">
      <c r="A86" s="13">
        <v>45077</v>
      </c>
      <c r="B86" s="7" t="s">
        <v>106</v>
      </c>
      <c r="C86" s="7" t="s">
        <v>27</v>
      </c>
      <c r="D86" s="7" t="s">
        <v>103</v>
      </c>
      <c r="E86" s="7" t="s">
        <v>25</v>
      </c>
      <c r="F86" s="14">
        <v>1758</v>
      </c>
      <c r="G86" s="15">
        <v>244.62</v>
      </c>
      <c r="H86" s="16">
        <v>7.1443995854947415E-2</v>
      </c>
      <c r="I86" s="16">
        <v>4.7216720640432357E-2</v>
      </c>
      <c r="J86" s="15">
        <v>121.06</v>
      </c>
      <c r="K86" s="14">
        <v>1159</v>
      </c>
      <c r="L86" s="14">
        <v>487</v>
      </c>
      <c r="M86" s="15">
        <v>28.98</v>
      </c>
      <c r="N86" s="17">
        <v>430041.96</v>
      </c>
      <c r="O86" s="17">
        <v>30723.91600769346</v>
      </c>
      <c r="P86" s="17">
        <v>18854.48852986862</v>
      </c>
      <c r="Q86" s="17">
        <v>380463.55546243797</v>
      </c>
      <c r="R86" s="17">
        <v>212823.48</v>
      </c>
      <c r="S86" s="17">
        <v>167640.07546243799</v>
      </c>
      <c r="T86" s="17">
        <v>14113.26</v>
      </c>
    </row>
    <row r="87" spans="1:20" x14ac:dyDescent="0.3">
      <c r="A87" s="13">
        <v>45077</v>
      </c>
      <c r="B87" s="7" t="s">
        <v>106</v>
      </c>
      <c r="C87" s="7" t="s">
        <v>27</v>
      </c>
      <c r="D87" s="7" t="s">
        <v>103</v>
      </c>
      <c r="E87" s="7" t="s">
        <v>28</v>
      </c>
      <c r="F87" s="14">
        <v>1004</v>
      </c>
      <c r="G87" s="15">
        <v>223.34</v>
      </c>
      <c r="H87" s="16">
        <v>8.4939919098080421E-2</v>
      </c>
      <c r="I87" s="16">
        <v>7.0664399523052368E-2</v>
      </c>
      <c r="J87" s="15">
        <v>126.97</v>
      </c>
      <c r="K87" s="14">
        <v>796</v>
      </c>
      <c r="L87" s="14">
        <v>249</v>
      </c>
      <c r="M87" s="15">
        <v>16.829999999999998</v>
      </c>
      <c r="N87" s="17">
        <v>224233.36</v>
      </c>
      <c r="O87" s="17">
        <v>19046.363457490741</v>
      </c>
      <c r="P87" s="17">
        <v>14499.41590061504</v>
      </c>
      <c r="Q87" s="17">
        <v>190687.58064189419</v>
      </c>
      <c r="R87" s="17">
        <v>127477.88</v>
      </c>
      <c r="S87" s="17">
        <v>63209.700641894218</v>
      </c>
      <c r="T87" s="17">
        <v>4190.6699999999992</v>
      </c>
    </row>
    <row r="88" spans="1:20" x14ac:dyDescent="0.3">
      <c r="A88" s="13">
        <v>45077</v>
      </c>
      <c r="B88" s="7" t="s">
        <v>106</v>
      </c>
      <c r="C88" s="7" t="s">
        <v>27</v>
      </c>
      <c r="D88" s="7" t="s">
        <v>103</v>
      </c>
      <c r="E88" s="7" t="s">
        <v>30</v>
      </c>
      <c r="F88" s="14">
        <v>906</v>
      </c>
      <c r="G88" s="15">
        <v>198.91</v>
      </c>
      <c r="H88" s="16">
        <v>3.8142721364116061E-2</v>
      </c>
      <c r="I88" s="16">
        <v>2.163066511121059E-2</v>
      </c>
      <c r="J88" s="15">
        <v>120.6</v>
      </c>
      <c r="K88" s="14">
        <v>72</v>
      </c>
      <c r="L88" s="14">
        <v>4</v>
      </c>
      <c r="M88" s="15">
        <v>5.83</v>
      </c>
      <c r="N88" s="17">
        <v>180212.46</v>
      </c>
      <c r="O88" s="17">
        <v>6873.7936481219112</v>
      </c>
      <c r="P88" s="17">
        <v>3749.4306426813419</v>
      </c>
      <c r="Q88" s="17">
        <v>169589.23570919671</v>
      </c>
      <c r="R88" s="17">
        <v>109263.6</v>
      </c>
      <c r="S88" s="17">
        <v>60325.635709196751</v>
      </c>
      <c r="T88" s="17">
        <v>23.32</v>
      </c>
    </row>
    <row r="89" spans="1:20" x14ac:dyDescent="0.3">
      <c r="A89" s="13">
        <v>45077</v>
      </c>
      <c r="B89" s="7" t="s">
        <v>106</v>
      </c>
      <c r="C89" s="7" t="s">
        <v>27</v>
      </c>
      <c r="D89" s="7" t="s">
        <v>104</v>
      </c>
      <c r="E89" s="7" t="s">
        <v>25</v>
      </c>
      <c r="F89" s="14">
        <v>1565</v>
      </c>
      <c r="G89" s="15">
        <v>48.03</v>
      </c>
      <c r="H89" s="16">
        <v>4.7323848332727958E-2</v>
      </c>
      <c r="I89" s="16">
        <v>2.4433708264760962E-2</v>
      </c>
      <c r="J89" s="15">
        <v>23.39</v>
      </c>
      <c r="K89" s="14">
        <v>1057</v>
      </c>
      <c r="L89" s="14">
        <v>427</v>
      </c>
      <c r="M89" s="15">
        <v>24.62</v>
      </c>
      <c r="N89" s="17">
        <v>75166.95</v>
      </c>
      <c r="O89" s="17">
        <v>3557.189341433746</v>
      </c>
      <c r="P89" s="17">
        <v>1749.6920008407651</v>
      </c>
      <c r="Q89" s="17">
        <v>69860.068657725496</v>
      </c>
      <c r="R89" s="17">
        <v>36605.35</v>
      </c>
      <c r="S89" s="17">
        <v>33254.718657725498</v>
      </c>
      <c r="T89" s="17">
        <v>10512.74</v>
      </c>
    </row>
    <row r="90" spans="1:20" x14ac:dyDescent="0.3">
      <c r="A90" s="13">
        <v>45077</v>
      </c>
      <c r="B90" s="7" t="s">
        <v>106</v>
      </c>
      <c r="C90" s="7" t="s">
        <v>27</v>
      </c>
      <c r="D90" s="7" t="s">
        <v>104</v>
      </c>
      <c r="E90" s="7" t="s">
        <v>28</v>
      </c>
      <c r="F90" s="14">
        <v>1008</v>
      </c>
      <c r="G90" s="15">
        <v>46.2</v>
      </c>
      <c r="H90" s="16">
        <v>8.8694372989749706E-2</v>
      </c>
      <c r="I90" s="16">
        <v>5.1826213697865747E-2</v>
      </c>
      <c r="J90" s="15">
        <v>23.25</v>
      </c>
      <c r="K90" s="14">
        <v>770</v>
      </c>
      <c r="L90" s="14">
        <v>255</v>
      </c>
      <c r="M90" s="15">
        <v>17.88</v>
      </c>
      <c r="N90" s="17">
        <v>46569.600000000013</v>
      </c>
      <c r="O90" s="17">
        <v>4130.4614723834484</v>
      </c>
      <c r="P90" s="17">
        <v>2199.459862485583</v>
      </c>
      <c r="Q90" s="17">
        <v>40239.678665130967</v>
      </c>
      <c r="R90" s="17">
        <v>23436</v>
      </c>
      <c r="S90" s="17">
        <v>16803.67866513097</v>
      </c>
      <c r="T90" s="17">
        <v>4559.3999999999996</v>
      </c>
    </row>
    <row r="91" spans="1:20" x14ac:dyDescent="0.3">
      <c r="A91" s="13">
        <v>45077</v>
      </c>
      <c r="B91" s="7" t="s">
        <v>106</v>
      </c>
      <c r="C91" s="7" t="s">
        <v>27</v>
      </c>
      <c r="D91" s="7" t="s">
        <v>104</v>
      </c>
      <c r="E91" s="7" t="s">
        <v>30</v>
      </c>
      <c r="F91" s="14">
        <v>717</v>
      </c>
      <c r="G91" s="15">
        <v>39.729999999999997</v>
      </c>
      <c r="H91" s="16">
        <v>3.9658326257673598E-2</v>
      </c>
      <c r="I91" s="16">
        <v>2.1539008844460299E-2</v>
      </c>
      <c r="J91" s="15">
        <v>21.79</v>
      </c>
      <c r="K91" s="14">
        <v>60</v>
      </c>
      <c r="L91" s="14">
        <v>4</v>
      </c>
      <c r="M91" s="15">
        <v>3.79</v>
      </c>
      <c r="N91" s="17">
        <v>28486.41</v>
      </c>
      <c r="O91" s="17">
        <v>1129.7233416898559</v>
      </c>
      <c r="P91" s="17">
        <v>589.23591588847103</v>
      </c>
      <c r="Q91" s="17">
        <v>26767.450742421672</v>
      </c>
      <c r="R91" s="17">
        <v>15623.43</v>
      </c>
      <c r="S91" s="17">
        <v>11144.02074242167</v>
      </c>
      <c r="T91" s="17">
        <v>15.16</v>
      </c>
    </row>
    <row r="92" spans="1:20" x14ac:dyDescent="0.3">
      <c r="A92" s="13">
        <v>45077</v>
      </c>
      <c r="B92" s="7" t="s">
        <v>106</v>
      </c>
      <c r="C92" s="7" t="s">
        <v>29</v>
      </c>
      <c r="D92" s="7" t="s">
        <v>102</v>
      </c>
      <c r="E92" s="7" t="s">
        <v>25</v>
      </c>
      <c r="F92" s="14">
        <v>3995</v>
      </c>
      <c r="G92" s="15">
        <v>114.74</v>
      </c>
      <c r="H92" s="16">
        <v>6.3128235348255027E-2</v>
      </c>
      <c r="I92" s="16">
        <v>3.4602403196906377E-2</v>
      </c>
      <c r="J92" s="15">
        <v>67.27</v>
      </c>
      <c r="K92" s="14">
        <v>2774</v>
      </c>
      <c r="L92" s="14">
        <v>1042</v>
      </c>
      <c r="M92" s="15">
        <v>33.130000000000003</v>
      </c>
      <c r="N92" s="17">
        <v>458386.3</v>
      </c>
      <c r="O92" s="17">
        <v>28937.11822681583</v>
      </c>
      <c r="P92" s="17">
        <v>14859.973740297261</v>
      </c>
      <c r="Q92" s="17">
        <v>414589.20803288691</v>
      </c>
      <c r="R92" s="17">
        <v>268743.65000000002</v>
      </c>
      <c r="S92" s="17">
        <v>145845.55803288691</v>
      </c>
      <c r="T92" s="17">
        <v>34521.46</v>
      </c>
    </row>
    <row r="93" spans="1:20" x14ac:dyDescent="0.3">
      <c r="A93" s="13">
        <v>45077</v>
      </c>
      <c r="B93" s="7" t="s">
        <v>106</v>
      </c>
      <c r="C93" s="7" t="s">
        <v>29</v>
      </c>
      <c r="D93" s="7" t="s">
        <v>102</v>
      </c>
      <c r="E93" s="7" t="s">
        <v>28</v>
      </c>
      <c r="F93" s="14">
        <v>1332</v>
      </c>
      <c r="G93" s="15">
        <v>110.58</v>
      </c>
      <c r="H93" s="16">
        <v>9.6380066012576066E-2</v>
      </c>
      <c r="I93" s="16">
        <v>6.3840446014708133E-2</v>
      </c>
      <c r="J93" s="15">
        <v>70.91</v>
      </c>
      <c r="K93" s="14">
        <v>1128</v>
      </c>
      <c r="L93" s="14">
        <v>304</v>
      </c>
      <c r="M93" s="15">
        <v>23.4</v>
      </c>
      <c r="N93" s="17">
        <v>147292.56</v>
      </c>
      <c r="O93" s="17">
        <v>14196.06665596132</v>
      </c>
      <c r="P93" s="17">
        <v>8496.9394980770612</v>
      </c>
      <c r="Q93" s="17">
        <v>124599.55384596159</v>
      </c>
      <c r="R93" s="17">
        <v>94452.12</v>
      </c>
      <c r="S93" s="17">
        <v>30147.433845961608</v>
      </c>
      <c r="T93" s="17">
        <v>7113.5999999999995</v>
      </c>
    </row>
    <row r="94" spans="1:20" x14ac:dyDescent="0.3">
      <c r="A94" s="13">
        <v>45077</v>
      </c>
      <c r="B94" s="7" t="s">
        <v>106</v>
      </c>
      <c r="C94" s="7" t="s">
        <v>29</v>
      </c>
      <c r="D94" s="7" t="s">
        <v>102</v>
      </c>
      <c r="E94" s="7" t="s">
        <v>30</v>
      </c>
      <c r="F94" s="14">
        <v>1525</v>
      </c>
      <c r="G94" s="15">
        <v>92.57</v>
      </c>
      <c r="H94" s="16">
        <v>4.0156546301265E-2</v>
      </c>
      <c r="I94" s="16">
        <v>2.2588295102345619E-2</v>
      </c>
      <c r="J94" s="15">
        <v>67.38</v>
      </c>
      <c r="K94" s="14">
        <v>118</v>
      </c>
      <c r="L94" s="14">
        <v>7</v>
      </c>
      <c r="M94" s="15">
        <v>5.17</v>
      </c>
      <c r="N94" s="17">
        <v>141169.25</v>
      </c>
      <c r="O94" s="17">
        <v>5668.8695239398539</v>
      </c>
      <c r="P94" s="17">
        <v>3060.7225806733568</v>
      </c>
      <c r="Q94" s="17">
        <v>132439.6578953868</v>
      </c>
      <c r="R94" s="17">
        <v>102754.5</v>
      </c>
      <c r="S94" s="17">
        <v>29685.157895386801</v>
      </c>
      <c r="T94" s="17">
        <v>36.19</v>
      </c>
    </row>
    <row r="95" spans="1:20" x14ac:dyDescent="0.3">
      <c r="A95" s="13">
        <v>45077</v>
      </c>
      <c r="B95" s="7" t="s">
        <v>106</v>
      </c>
      <c r="C95" s="7" t="s">
        <v>29</v>
      </c>
      <c r="D95" s="7" t="s">
        <v>103</v>
      </c>
      <c r="E95" s="7" t="s">
        <v>25</v>
      </c>
      <c r="F95" s="14">
        <v>1387</v>
      </c>
      <c r="G95" s="15">
        <v>205.4</v>
      </c>
      <c r="H95" s="16">
        <v>4.7834838549452988E-2</v>
      </c>
      <c r="I95" s="16">
        <v>3.0241267470226669E-2</v>
      </c>
      <c r="J95" s="15">
        <v>121.8</v>
      </c>
      <c r="K95" s="14">
        <v>933</v>
      </c>
      <c r="L95" s="14">
        <v>325</v>
      </c>
      <c r="M95" s="15">
        <v>26.53</v>
      </c>
      <c r="N95" s="17">
        <v>284889.8</v>
      </c>
      <c r="O95" s="17">
        <v>13627.657587385949</v>
      </c>
      <c r="P95" s="17">
        <v>8203.3110032465793</v>
      </c>
      <c r="Q95" s="17">
        <v>263058.83140936738</v>
      </c>
      <c r="R95" s="17">
        <v>168936.6</v>
      </c>
      <c r="S95" s="17">
        <v>94122.231409367436</v>
      </c>
      <c r="T95" s="17">
        <v>8622.25</v>
      </c>
    </row>
    <row r="96" spans="1:20" x14ac:dyDescent="0.3">
      <c r="A96" s="13">
        <v>45077</v>
      </c>
      <c r="B96" s="7" t="s">
        <v>106</v>
      </c>
      <c r="C96" s="7" t="s">
        <v>29</v>
      </c>
      <c r="D96" s="7" t="s">
        <v>103</v>
      </c>
      <c r="E96" s="7" t="s">
        <v>28</v>
      </c>
      <c r="F96" s="14">
        <v>1160</v>
      </c>
      <c r="G96" s="15">
        <v>193.4</v>
      </c>
      <c r="H96" s="16">
        <v>9.9454183372021387E-2</v>
      </c>
      <c r="I96" s="16">
        <v>5.1365432606433392E-2</v>
      </c>
      <c r="J96" s="15">
        <v>118.5</v>
      </c>
      <c r="K96" s="14">
        <v>986</v>
      </c>
      <c r="L96" s="14">
        <v>299</v>
      </c>
      <c r="M96" s="15">
        <v>26.29</v>
      </c>
      <c r="N96" s="17">
        <v>224344</v>
      </c>
      <c r="O96" s="17">
        <v>22311.94931441277</v>
      </c>
      <c r="P96" s="17">
        <v>10377.463683830059</v>
      </c>
      <c r="Q96" s="17">
        <v>191654.5870017572</v>
      </c>
      <c r="R96" s="17">
        <v>137460</v>
      </c>
      <c r="S96" s="17">
        <v>54194.587001757172</v>
      </c>
      <c r="T96" s="17">
        <v>7860.71</v>
      </c>
    </row>
    <row r="97" spans="1:20" x14ac:dyDescent="0.3">
      <c r="A97" s="13">
        <v>45077</v>
      </c>
      <c r="B97" s="7" t="s">
        <v>106</v>
      </c>
      <c r="C97" s="7" t="s">
        <v>29</v>
      </c>
      <c r="D97" s="7" t="s">
        <v>103</v>
      </c>
      <c r="E97" s="7" t="s">
        <v>30</v>
      </c>
      <c r="F97" s="14">
        <v>568</v>
      </c>
      <c r="G97" s="15">
        <v>172.26</v>
      </c>
      <c r="H97" s="16">
        <v>5.0624803813813062E-2</v>
      </c>
      <c r="I97" s="16">
        <v>1.686516471106116E-2</v>
      </c>
      <c r="J97" s="15">
        <v>124.49</v>
      </c>
      <c r="K97" s="14">
        <v>50</v>
      </c>
      <c r="L97" s="14">
        <v>3</v>
      </c>
      <c r="M97" s="15">
        <v>5.64</v>
      </c>
      <c r="N97" s="17">
        <v>97843.68</v>
      </c>
      <c r="O97" s="17">
        <v>4953.3171044215042</v>
      </c>
      <c r="P97" s="17">
        <v>1566.6112703041761</v>
      </c>
      <c r="Q97" s="17">
        <v>91323.751625274323</v>
      </c>
      <c r="R97" s="17">
        <v>70710.319999999992</v>
      </c>
      <c r="S97" s="17">
        <v>20613.43162527433</v>
      </c>
      <c r="T97" s="17">
        <v>16.920000000000002</v>
      </c>
    </row>
    <row r="98" spans="1:20" x14ac:dyDescent="0.3">
      <c r="A98" s="13">
        <v>45077</v>
      </c>
      <c r="B98" s="7" t="s">
        <v>106</v>
      </c>
      <c r="C98" s="7" t="s">
        <v>29</v>
      </c>
      <c r="D98" s="7" t="s">
        <v>104</v>
      </c>
      <c r="E98" s="7" t="s">
        <v>25</v>
      </c>
      <c r="F98" s="14">
        <v>1148</v>
      </c>
      <c r="G98" s="15">
        <v>43.68</v>
      </c>
      <c r="H98" s="16">
        <v>4.5867977520985891E-2</v>
      </c>
      <c r="I98" s="16">
        <v>3.2728628241751323E-2</v>
      </c>
      <c r="J98" s="15">
        <v>21.49</v>
      </c>
      <c r="K98" s="14">
        <v>812</v>
      </c>
      <c r="L98" s="14">
        <v>327</v>
      </c>
      <c r="M98" s="15">
        <v>31.57</v>
      </c>
      <c r="N98" s="17">
        <v>50144.639999999999</v>
      </c>
      <c r="O98" s="17">
        <v>2300.03322031793</v>
      </c>
      <c r="P98" s="17">
        <v>1565.8883486649891</v>
      </c>
      <c r="Q98" s="17">
        <v>46278.718431017092</v>
      </c>
      <c r="R98" s="17">
        <v>24670.52</v>
      </c>
      <c r="S98" s="17">
        <v>21608.198431017088</v>
      </c>
      <c r="T98" s="17">
        <v>10323.39</v>
      </c>
    </row>
    <row r="99" spans="1:20" x14ac:dyDescent="0.3">
      <c r="A99" s="13">
        <v>45077</v>
      </c>
      <c r="B99" s="7" t="s">
        <v>106</v>
      </c>
      <c r="C99" s="7" t="s">
        <v>29</v>
      </c>
      <c r="D99" s="7" t="s">
        <v>104</v>
      </c>
      <c r="E99" s="7" t="s">
        <v>28</v>
      </c>
      <c r="F99" s="14">
        <v>646</v>
      </c>
      <c r="G99" s="15">
        <v>40.81</v>
      </c>
      <c r="H99" s="16">
        <v>9.8242907561331597E-2</v>
      </c>
      <c r="I99" s="16">
        <v>6.8396856718965587E-2</v>
      </c>
      <c r="J99" s="15">
        <v>22.35</v>
      </c>
      <c r="K99" s="14">
        <v>542</v>
      </c>
      <c r="L99" s="14">
        <v>150</v>
      </c>
      <c r="M99" s="15">
        <v>20.7</v>
      </c>
      <c r="N99" s="17">
        <v>26363.26</v>
      </c>
      <c r="O99" s="17">
        <v>2590.0033151953512</v>
      </c>
      <c r="P99" s="17">
        <v>1626.016031213775</v>
      </c>
      <c r="Q99" s="17">
        <v>22147.240653590881</v>
      </c>
      <c r="R99" s="17">
        <v>14438.1</v>
      </c>
      <c r="S99" s="17">
        <v>7709.1406535908773</v>
      </c>
      <c r="T99" s="17">
        <v>3105</v>
      </c>
    </row>
    <row r="100" spans="1:20" x14ac:dyDescent="0.3">
      <c r="A100" s="13">
        <v>45077</v>
      </c>
      <c r="B100" s="7" t="s">
        <v>106</v>
      </c>
      <c r="C100" s="7" t="s">
        <v>29</v>
      </c>
      <c r="D100" s="7" t="s">
        <v>104</v>
      </c>
      <c r="E100" s="7" t="s">
        <v>30</v>
      </c>
      <c r="F100" s="14">
        <v>502</v>
      </c>
      <c r="G100" s="15">
        <v>35.64</v>
      </c>
      <c r="H100" s="16">
        <v>4.124612612297867E-2</v>
      </c>
      <c r="I100" s="16">
        <v>2.1357894185976872E-2</v>
      </c>
      <c r="J100" s="15">
        <v>20.82</v>
      </c>
      <c r="K100" s="14">
        <v>42</v>
      </c>
      <c r="L100" s="14">
        <v>2</v>
      </c>
      <c r="M100" s="15">
        <v>4.03</v>
      </c>
      <c r="N100" s="17">
        <v>17891.28</v>
      </c>
      <c r="O100" s="17">
        <v>737.9459913815258</v>
      </c>
      <c r="P100" s="17">
        <v>366.35909269279182</v>
      </c>
      <c r="Q100" s="17">
        <v>16786.974915925679</v>
      </c>
      <c r="R100" s="17">
        <v>10451.64</v>
      </c>
      <c r="S100" s="17">
        <v>6335.3349159256832</v>
      </c>
      <c r="T100" s="17">
        <v>8.06</v>
      </c>
    </row>
    <row r="101" spans="1:20" x14ac:dyDescent="0.3">
      <c r="A101" s="13">
        <v>45077</v>
      </c>
      <c r="B101" s="7" t="s">
        <v>106</v>
      </c>
      <c r="C101" s="7" t="s">
        <v>31</v>
      </c>
      <c r="D101" s="7" t="s">
        <v>102</v>
      </c>
      <c r="E101" s="7" t="s">
        <v>25</v>
      </c>
      <c r="F101" s="14">
        <v>1920</v>
      </c>
      <c r="G101" s="15">
        <v>106.31</v>
      </c>
      <c r="H101" s="16">
        <v>6.0267805255461701E-2</v>
      </c>
      <c r="I101" s="16">
        <v>4.9382838059759973E-2</v>
      </c>
      <c r="J101" s="15">
        <v>65.73</v>
      </c>
      <c r="K101" s="14">
        <v>1322</v>
      </c>
      <c r="L101" s="14">
        <v>523</v>
      </c>
      <c r="M101" s="15">
        <v>32.549999999999997</v>
      </c>
      <c r="N101" s="17">
        <v>204115.20000000001</v>
      </c>
      <c r="O101" s="17">
        <v>12301.575123279619</v>
      </c>
      <c r="P101" s="17">
        <v>9472.3011749426296</v>
      </c>
      <c r="Q101" s="17">
        <v>182341.32370177779</v>
      </c>
      <c r="R101" s="17">
        <v>126201.60000000001</v>
      </c>
      <c r="S101" s="17">
        <v>56139.723701777752</v>
      </c>
      <c r="T101" s="17">
        <v>17023.650000000001</v>
      </c>
    </row>
    <row r="102" spans="1:20" x14ac:dyDescent="0.3">
      <c r="A102" s="13">
        <v>45077</v>
      </c>
      <c r="B102" s="7" t="s">
        <v>106</v>
      </c>
      <c r="C102" s="7" t="s">
        <v>31</v>
      </c>
      <c r="D102" s="7" t="s">
        <v>102</v>
      </c>
      <c r="E102" s="7" t="s">
        <v>28</v>
      </c>
      <c r="F102" s="14">
        <v>664</v>
      </c>
      <c r="G102" s="15">
        <v>100.42</v>
      </c>
      <c r="H102" s="16">
        <v>8.3536893607543058E-2</v>
      </c>
      <c r="I102" s="16">
        <v>7.883634188360282E-2</v>
      </c>
      <c r="J102" s="15">
        <v>64.97</v>
      </c>
      <c r="K102" s="14">
        <v>544</v>
      </c>
      <c r="L102" s="14">
        <v>160</v>
      </c>
      <c r="M102" s="15">
        <v>17.39</v>
      </c>
      <c r="N102" s="17">
        <v>66678.880000000005</v>
      </c>
      <c r="O102" s="17">
        <v>5570.1465044301312</v>
      </c>
      <c r="P102" s="17">
        <v>4817.5890059307176</v>
      </c>
      <c r="Q102" s="17">
        <v>56291.144489639148</v>
      </c>
      <c r="R102" s="17">
        <v>43140.08</v>
      </c>
      <c r="S102" s="17">
        <v>13151.06448963915</v>
      </c>
      <c r="T102" s="17">
        <v>2782.4</v>
      </c>
    </row>
    <row r="103" spans="1:20" x14ac:dyDescent="0.3">
      <c r="A103" s="13">
        <v>45077</v>
      </c>
      <c r="B103" s="7" t="s">
        <v>106</v>
      </c>
      <c r="C103" s="7" t="s">
        <v>31</v>
      </c>
      <c r="D103" s="7" t="s">
        <v>102</v>
      </c>
      <c r="E103" s="7" t="s">
        <v>30</v>
      </c>
      <c r="F103" s="14">
        <v>534</v>
      </c>
      <c r="G103" s="15">
        <v>89.36</v>
      </c>
      <c r="H103" s="16">
        <v>3.1086637761778169E-2</v>
      </c>
      <c r="I103" s="16">
        <v>2.1335251329346289E-2</v>
      </c>
      <c r="J103" s="15">
        <v>68.55</v>
      </c>
      <c r="K103" s="14">
        <v>47</v>
      </c>
      <c r="L103" s="14">
        <v>3</v>
      </c>
      <c r="M103" s="15">
        <v>5.07</v>
      </c>
      <c r="N103" s="17">
        <v>47718.239999999998</v>
      </c>
      <c r="O103" s="17">
        <v>1483.399641509593</v>
      </c>
      <c r="P103" s="17">
        <v>986.43193922059595</v>
      </c>
      <c r="Q103" s="17">
        <v>45248.408419269806</v>
      </c>
      <c r="R103" s="17">
        <v>36605.699999999997</v>
      </c>
      <c r="S103" s="17">
        <v>8642.7084192698094</v>
      </c>
      <c r="T103" s="17">
        <v>15.21</v>
      </c>
    </row>
    <row r="104" spans="1:20" x14ac:dyDescent="0.3">
      <c r="A104" s="13">
        <v>45077</v>
      </c>
      <c r="B104" s="7" t="s">
        <v>106</v>
      </c>
      <c r="C104" s="7" t="s">
        <v>31</v>
      </c>
      <c r="D104" s="7" t="s">
        <v>103</v>
      </c>
      <c r="E104" s="7" t="s">
        <v>25</v>
      </c>
      <c r="F104" s="14">
        <v>875</v>
      </c>
      <c r="G104" s="15">
        <v>205.96</v>
      </c>
      <c r="H104" s="16">
        <v>5.6734452956043062E-2</v>
      </c>
      <c r="I104" s="16">
        <v>3.5544974785992292E-2</v>
      </c>
      <c r="J104" s="15">
        <v>119.45</v>
      </c>
      <c r="K104" s="14">
        <v>591</v>
      </c>
      <c r="L104" s="14">
        <v>244</v>
      </c>
      <c r="M104" s="15">
        <v>41.1</v>
      </c>
      <c r="N104" s="17">
        <v>180215</v>
      </c>
      <c r="O104" s="17">
        <v>10224.3994394733</v>
      </c>
      <c r="P104" s="17">
        <v>6042.3116107796077</v>
      </c>
      <c r="Q104" s="17">
        <v>163948.2889497471</v>
      </c>
      <c r="R104" s="17">
        <v>104518.75</v>
      </c>
      <c r="S104" s="17">
        <v>59429.538949747097</v>
      </c>
      <c r="T104" s="17">
        <v>10028.4</v>
      </c>
    </row>
    <row r="105" spans="1:20" x14ac:dyDescent="0.3">
      <c r="A105" s="13">
        <v>45077</v>
      </c>
      <c r="B105" s="7" t="s">
        <v>106</v>
      </c>
      <c r="C105" s="7" t="s">
        <v>31</v>
      </c>
      <c r="D105" s="7" t="s">
        <v>103</v>
      </c>
      <c r="E105" s="7" t="s">
        <v>28</v>
      </c>
      <c r="F105" s="14">
        <v>299</v>
      </c>
      <c r="G105" s="15">
        <v>176.92</v>
      </c>
      <c r="H105" s="16">
        <v>7.7598198722463319E-2</v>
      </c>
      <c r="I105" s="16">
        <v>4.4937888498718978E-2</v>
      </c>
      <c r="J105" s="15">
        <v>111.82</v>
      </c>
      <c r="K105" s="14">
        <v>245</v>
      </c>
      <c r="L105" s="14">
        <v>72</v>
      </c>
      <c r="M105" s="15">
        <v>17.89</v>
      </c>
      <c r="N105" s="17">
        <v>52899.079999999987</v>
      </c>
      <c r="O105" s="17">
        <v>4104.8733220754848</v>
      </c>
      <c r="P105" s="17">
        <v>2192.708619076021</v>
      </c>
      <c r="Q105" s="17">
        <v>46601.498058848483</v>
      </c>
      <c r="R105" s="17">
        <v>33434.18</v>
      </c>
      <c r="S105" s="17">
        <v>13167.318058848479</v>
      </c>
      <c r="T105" s="17">
        <v>1288.08</v>
      </c>
    </row>
    <row r="106" spans="1:20" x14ac:dyDescent="0.3">
      <c r="A106" s="13">
        <v>45077</v>
      </c>
      <c r="B106" s="7" t="s">
        <v>106</v>
      </c>
      <c r="C106" s="7" t="s">
        <v>31</v>
      </c>
      <c r="D106" s="7" t="s">
        <v>103</v>
      </c>
      <c r="E106" s="7" t="s">
        <v>30</v>
      </c>
      <c r="F106" s="14">
        <v>274</v>
      </c>
      <c r="G106" s="15">
        <v>163.63999999999999</v>
      </c>
      <c r="H106" s="16">
        <v>3.8716066934646937E-2</v>
      </c>
      <c r="I106" s="16">
        <v>1.9752681451737839E-2</v>
      </c>
      <c r="J106" s="15">
        <v>116.77</v>
      </c>
      <c r="K106" s="14">
        <v>24</v>
      </c>
      <c r="L106" s="14">
        <v>1</v>
      </c>
      <c r="M106" s="15">
        <v>3.99</v>
      </c>
      <c r="N106" s="17">
        <v>44837.359999999993</v>
      </c>
      <c r="O106" s="17">
        <v>1735.926230932861</v>
      </c>
      <c r="P106" s="17">
        <v>851.36889135355909</v>
      </c>
      <c r="Q106" s="17">
        <v>42250.064877713572</v>
      </c>
      <c r="R106" s="17">
        <v>31994.98</v>
      </c>
      <c r="S106" s="17">
        <v>10255.084877713571</v>
      </c>
      <c r="T106" s="17">
        <v>3.99</v>
      </c>
    </row>
    <row r="107" spans="1:20" x14ac:dyDescent="0.3">
      <c r="A107" s="13">
        <v>45077</v>
      </c>
      <c r="B107" s="7" t="s">
        <v>106</v>
      </c>
      <c r="C107" s="7" t="s">
        <v>31</v>
      </c>
      <c r="D107" s="7" t="s">
        <v>104</v>
      </c>
      <c r="E107" s="7" t="s">
        <v>25</v>
      </c>
      <c r="F107" s="14">
        <v>619</v>
      </c>
      <c r="G107" s="15">
        <v>40.130000000000003</v>
      </c>
      <c r="H107" s="16">
        <v>8.2097701259198033E-2</v>
      </c>
      <c r="I107" s="16">
        <v>3.3622600157486852E-2</v>
      </c>
      <c r="J107" s="15">
        <v>20.65</v>
      </c>
      <c r="K107" s="14">
        <v>430</v>
      </c>
      <c r="L107" s="14">
        <v>168</v>
      </c>
      <c r="M107" s="15">
        <v>28.41</v>
      </c>
      <c r="N107" s="17">
        <v>24840.47</v>
      </c>
      <c r="O107" s="17">
        <v>2039.3454851980709</v>
      </c>
      <c r="P107" s="17">
        <v>766.63309270225659</v>
      </c>
      <c r="Q107" s="17">
        <v>22034.491422099669</v>
      </c>
      <c r="R107" s="17">
        <v>12782.35</v>
      </c>
      <c r="S107" s="17">
        <v>9252.1414220996739</v>
      </c>
      <c r="T107" s="17">
        <v>4772.88</v>
      </c>
    </row>
    <row r="108" spans="1:20" x14ac:dyDescent="0.3">
      <c r="A108" s="13">
        <v>45077</v>
      </c>
      <c r="B108" s="7" t="s">
        <v>106</v>
      </c>
      <c r="C108" s="7" t="s">
        <v>31</v>
      </c>
      <c r="D108" s="7" t="s">
        <v>104</v>
      </c>
      <c r="E108" s="7" t="s">
        <v>28</v>
      </c>
      <c r="F108" s="14">
        <v>238</v>
      </c>
      <c r="G108" s="15">
        <v>38.78</v>
      </c>
      <c r="H108" s="16">
        <v>8.2294925034382072E-2</v>
      </c>
      <c r="I108" s="16">
        <v>4.7514666403436573E-2</v>
      </c>
      <c r="J108" s="15">
        <v>21.28</v>
      </c>
      <c r="K108" s="14">
        <v>193</v>
      </c>
      <c r="L108" s="14">
        <v>62</v>
      </c>
      <c r="M108" s="15">
        <v>16.21</v>
      </c>
      <c r="N108" s="17">
        <v>9229.64</v>
      </c>
      <c r="O108" s="17">
        <v>759.55253189433404</v>
      </c>
      <c r="P108" s="17">
        <v>402.45338045496931</v>
      </c>
      <c r="Q108" s="17">
        <v>8067.6340876506956</v>
      </c>
      <c r="R108" s="17">
        <v>5064.6400000000003</v>
      </c>
      <c r="S108" s="17">
        <v>3002.9940876506948</v>
      </c>
      <c r="T108" s="17">
        <v>1005.02</v>
      </c>
    </row>
    <row r="109" spans="1:20" x14ac:dyDescent="0.3">
      <c r="A109" s="13">
        <v>45077</v>
      </c>
      <c r="B109" s="7" t="s">
        <v>106</v>
      </c>
      <c r="C109" s="7" t="s">
        <v>31</v>
      </c>
      <c r="D109" s="7" t="s">
        <v>104</v>
      </c>
      <c r="E109" s="7" t="s">
        <v>30</v>
      </c>
      <c r="F109" s="14">
        <v>235</v>
      </c>
      <c r="G109" s="15">
        <v>33.93</v>
      </c>
      <c r="H109" s="16">
        <v>5.077526603857313E-2</v>
      </c>
      <c r="I109" s="16">
        <v>1.6936056547578071E-2</v>
      </c>
      <c r="J109" s="15">
        <v>20.74</v>
      </c>
      <c r="K109" s="14">
        <v>20</v>
      </c>
      <c r="L109" s="14">
        <v>1</v>
      </c>
      <c r="M109" s="15">
        <v>5.26</v>
      </c>
      <c r="N109" s="17">
        <v>7973.55</v>
      </c>
      <c r="O109" s="17">
        <v>404.85912252186478</v>
      </c>
      <c r="P109" s="17">
        <v>128.18377669210801</v>
      </c>
      <c r="Q109" s="17">
        <v>7440.507100786027</v>
      </c>
      <c r="R109" s="17">
        <v>4873.8999999999996</v>
      </c>
      <c r="S109" s="17">
        <v>2566.6071007860269</v>
      </c>
      <c r="T109" s="17">
        <v>5.26</v>
      </c>
    </row>
    <row r="110" spans="1:20" x14ac:dyDescent="0.3">
      <c r="A110" s="13">
        <v>45107</v>
      </c>
      <c r="B110" s="7" t="s">
        <v>107</v>
      </c>
      <c r="C110" s="7" t="s">
        <v>24</v>
      </c>
      <c r="D110" s="7" t="s">
        <v>102</v>
      </c>
      <c r="E110" s="7" t="s">
        <v>25</v>
      </c>
      <c r="F110" s="14">
        <v>7806</v>
      </c>
      <c r="G110" s="15">
        <v>118.67</v>
      </c>
      <c r="H110" s="16">
        <v>4.7586126947869248E-2</v>
      </c>
      <c r="I110" s="16">
        <v>3.2690699600580811E-2</v>
      </c>
      <c r="J110" s="15">
        <v>70.349999999999994</v>
      </c>
      <c r="K110" s="14">
        <v>5816</v>
      </c>
      <c r="L110" s="14">
        <v>2187</v>
      </c>
      <c r="M110" s="15">
        <v>42.34</v>
      </c>
      <c r="N110" s="17">
        <v>926338.02</v>
      </c>
      <c r="O110" s="17">
        <v>44080.83861635784</v>
      </c>
      <c r="P110" s="17">
        <v>28841.60448706778</v>
      </c>
      <c r="Q110" s="17">
        <v>853415.57689657435</v>
      </c>
      <c r="R110" s="17">
        <v>549152.1</v>
      </c>
      <c r="S110" s="17">
        <v>304263.47689657437</v>
      </c>
      <c r="T110" s="17">
        <v>92597.58</v>
      </c>
    </row>
    <row r="111" spans="1:20" x14ac:dyDescent="0.3">
      <c r="A111" s="13">
        <v>45107</v>
      </c>
      <c r="B111" s="7" t="s">
        <v>107</v>
      </c>
      <c r="C111" s="7" t="s">
        <v>24</v>
      </c>
      <c r="D111" s="7" t="s">
        <v>102</v>
      </c>
      <c r="E111" s="7" t="s">
        <v>28</v>
      </c>
      <c r="F111" s="14">
        <v>2871</v>
      </c>
      <c r="G111" s="15">
        <v>117.2</v>
      </c>
      <c r="H111" s="16">
        <v>0.1241135877492939</v>
      </c>
      <c r="I111" s="16">
        <v>5.2036968406195191E-2</v>
      </c>
      <c r="J111" s="15">
        <v>69.39</v>
      </c>
      <c r="K111" s="14">
        <v>2414</v>
      </c>
      <c r="L111" s="14">
        <v>723</v>
      </c>
      <c r="M111" s="15">
        <v>21.38</v>
      </c>
      <c r="N111" s="17">
        <v>336481.2</v>
      </c>
      <c r="O111" s="17">
        <v>41761.88894218771</v>
      </c>
      <c r="P111" s="17">
        <v>15336.299478210991</v>
      </c>
      <c r="Q111" s="17">
        <v>279383.01157960133</v>
      </c>
      <c r="R111" s="17">
        <v>199218.69</v>
      </c>
      <c r="S111" s="17">
        <v>80164.321579601325</v>
      </c>
      <c r="T111" s="17">
        <v>15457.74</v>
      </c>
    </row>
    <row r="112" spans="1:20" x14ac:dyDescent="0.3">
      <c r="A112" s="13">
        <v>45107</v>
      </c>
      <c r="B112" s="7" t="s">
        <v>107</v>
      </c>
      <c r="C112" s="7" t="s">
        <v>24</v>
      </c>
      <c r="D112" s="7" t="s">
        <v>102</v>
      </c>
      <c r="E112" s="7" t="s">
        <v>30</v>
      </c>
      <c r="F112" s="14">
        <v>2850</v>
      </c>
      <c r="G112" s="15">
        <v>98.4</v>
      </c>
      <c r="H112" s="16">
        <v>4.3543928984153858E-2</v>
      </c>
      <c r="I112" s="16">
        <v>2.554351790291454E-2</v>
      </c>
      <c r="J112" s="15">
        <v>72.150000000000006</v>
      </c>
      <c r="K112" s="14">
        <v>255</v>
      </c>
      <c r="L112" s="14">
        <v>16</v>
      </c>
      <c r="M112" s="15">
        <v>5.46</v>
      </c>
      <c r="N112" s="17">
        <v>280440</v>
      </c>
      <c r="O112" s="17">
        <v>12211.45944431611</v>
      </c>
      <c r="P112" s="17">
        <v>6851.5005277567507</v>
      </c>
      <c r="Q112" s="17">
        <v>261377.04002792711</v>
      </c>
      <c r="R112" s="17">
        <v>205627.5</v>
      </c>
      <c r="S112" s="17">
        <v>55749.540027927113</v>
      </c>
      <c r="T112" s="17">
        <v>87.36</v>
      </c>
    </row>
    <row r="113" spans="1:20" x14ac:dyDescent="0.3">
      <c r="A113" s="13">
        <v>45107</v>
      </c>
      <c r="B113" s="7" t="s">
        <v>107</v>
      </c>
      <c r="C113" s="7" t="s">
        <v>24</v>
      </c>
      <c r="D113" s="7" t="s">
        <v>103</v>
      </c>
      <c r="E113" s="7" t="s">
        <v>25</v>
      </c>
      <c r="F113" s="14">
        <v>3818</v>
      </c>
      <c r="G113" s="15">
        <v>225.59</v>
      </c>
      <c r="H113" s="16">
        <v>5.8495937277148309E-2</v>
      </c>
      <c r="I113" s="16">
        <v>4.1467136864333218E-2</v>
      </c>
      <c r="J113" s="15">
        <v>125.09</v>
      </c>
      <c r="K113" s="14">
        <v>2756</v>
      </c>
      <c r="L113" s="14">
        <v>1134</v>
      </c>
      <c r="M113" s="15">
        <v>27.29</v>
      </c>
      <c r="N113" s="17">
        <v>861302.62</v>
      </c>
      <c r="O113" s="17">
        <v>50382.704036163501</v>
      </c>
      <c r="P113" s="17">
        <v>33626.527141286002</v>
      </c>
      <c r="Q113" s="17">
        <v>777293.38882255042</v>
      </c>
      <c r="R113" s="17">
        <v>477593.62</v>
      </c>
      <c r="S113" s="17">
        <v>299699.76882255042</v>
      </c>
      <c r="T113" s="17">
        <v>30946.86</v>
      </c>
    </row>
    <row r="114" spans="1:20" x14ac:dyDescent="0.3">
      <c r="A114" s="13">
        <v>45107</v>
      </c>
      <c r="B114" s="7" t="s">
        <v>107</v>
      </c>
      <c r="C114" s="7" t="s">
        <v>24</v>
      </c>
      <c r="D114" s="7" t="s">
        <v>103</v>
      </c>
      <c r="E114" s="7" t="s">
        <v>28</v>
      </c>
      <c r="F114" s="14">
        <v>1531</v>
      </c>
      <c r="G114" s="15">
        <v>215.34</v>
      </c>
      <c r="H114" s="16">
        <v>9.2579837418268696E-2</v>
      </c>
      <c r="I114" s="16">
        <v>6.0696548222342231E-2</v>
      </c>
      <c r="J114" s="15">
        <v>115.8</v>
      </c>
      <c r="K114" s="14">
        <v>1256</v>
      </c>
      <c r="L114" s="14">
        <v>377</v>
      </c>
      <c r="M114" s="15">
        <v>20.420000000000002</v>
      </c>
      <c r="N114" s="17">
        <v>329685.53999999998</v>
      </c>
      <c r="O114" s="17">
        <v>30522.233692354119</v>
      </c>
      <c r="P114" s="17">
        <v>18158.18004765737</v>
      </c>
      <c r="Q114" s="17">
        <v>281005.12625998852</v>
      </c>
      <c r="R114" s="17">
        <v>177289.8</v>
      </c>
      <c r="S114" s="17">
        <v>103715.32625998851</v>
      </c>
      <c r="T114" s="17">
        <v>7698.3400000000011</v>
      </c>
    </row>
    <row r="115" spans="1:20" x14ac:dyDescent="0.3">
      <c r="A115" s="13">
        <v>45107</v>
      </c>
      <c r="B115" s="7" t="s">
        <v>107</v>
      </c>
      <c r="C115" s="7" t="s">
        <v>24</v>
      </c>
      <c r="D115" s="7" t="s">
        <v>103</v>
      </c>
      <c r="E115" s="7" t="s">
        <v>30</v>
      </c>
      <c r="F115" s="14">
        <v>1287</v>
      </c>
      <c r="G115" s="15">
        <v>183.03</v>
      </c>
      <c r="H115" s="16">
        <v>4.1496302102264543E-2</v>
      </c>
      <c r="I115" s="16">
        <v>2.7887266398817379E-2</v>
      </c>
      <c r="J115" s="15">
        <v>120.38</v>
      </c>
      <c r="K115" s="14">
        <v>117</v>
      </c>
      <c r="L115" s="14">
        <v>7</v>
      </c>
      <c r="M115" s="15">
        <v>5.25</v>
      </c>
      <c r="N115" s="17">
        <v>235559.61</v>
      </c>
      <c r="O115" s="17">
        <v>9774.8527396516147</v>
      </c>
      <c r="P115" s="17">
        <v>6296.5196745116518</v>
      </c>
      <c r="Q115" s="17">
        <v>219488.23758583679</v>
      </c>
      <c r="R115" s="17">
        <v>154929.06</v>
      </c>
      <c r="S115" s="17">
        <v>64559.177585836762</v>
      </c>
      <c r="T115" s="17">
        <v>36.75</v>
      </c>
    </row>
    <row r="116" spans="1:20" x14ac:dyDescent="0.3">
      <c r="A116" s="13">
        <v>45107</v>
      </c>
      <c r="B116" s="7" t="s">
        <v>107</v>
      </c>
      <c r="C116" s="7" t="s">
        <v>24</v>
      </c>
      <c r="D116" s="7" t="s">
        <v>104</v>
      </c>
      <c r="E116" s="7" t="s">
        <v>25</v>
      </c>
      <c r="F116" s="14">
        <v>2813</v>
      </c>
      <c r="G116" s="15">
        <v>45.63</v>
      </c>
      <c r="H116" s="16">
        <v>6.9662685748737935E-2</v>
      </c>
      <c r="I116" s="16">
        <v>2.9734847005889398E-2</v>
      </c>
      <c r="J116" s="15">
        <v>22.22</v>
      </c>
      <c r="K116" s="14">
        <v>1954</v>
      </c>
      <c r="L116" s="14">
        <v>723</v>
      </c>
      <c r="M116" s="15">
        <v>27.97</v>
      </c>
      <c r="N116" s="17">
        <v>128357.19</v>
      </c>
      <c r="O116" s="17">
        <v>8941.7065905610471</v>
      </c>
      <c r="P116" s="17">
        <v>3550.8011293139912</v>
      </c>
      <c r="Q116" s="17">
        <v>115864.68228012499</v>
      </c>
      <c r="R116" s="17">
        <v>62504.859999999993</v>
      </c>
      <c r="S116" s="17">
        <v>53359.822280124972</v>
      </c>
      <c r="T116" s="17">
        <v>20222.310000000001</v>
      </c>
    </row>
    <row r="117" spans="1:20" x14ac:dyDescent="0.3">
      <c r="A117" s="13">
        <v>45107</v>
      </c>
      <c r="B117" s="7" t="s">
        <v>107</v>
      </c>
      <c r="C117" s="7" t="s">
        <v>24</v>
      </c>
      <c r="D117" s="7" t="s">
        <v>104</v>
      </c>
      <c r="E117" s="7" t="s">
        <v>28</v>
      </c>
      <c r="F117" s="14">
        <v>1421</v>
      </c>
      <c r="G117" s="15">
        <v>43.08</v>
      </c>
      <c r="H117" s="16">
        <v>0.11113457439466359</v>
      </c>
      <c r="I117" s="16">
        <v>5.901374608390518E-2</v>
      </c>
      <c r="J117" s="15">
        <v>21.76</v>
      </c>
      <c r="K117" s="14">
        <v>1112</v>
      </c>
      <c r="L117" s="14">
        <v>322</v>
      </c>
      <c r="M117" s="15">
        <v>24.09</v>
      </c>
      <c r="N117" s="17">
        <v>61216.68</v>
      </c>
      <c r="O117" s="17">
        <v>6803.2896776543148</v>
      </c>
      <c r="P117" s="17">
        <v>3211.1380000473318</v>
      </c>
      <c r="Q117" s="17">
        <v>51202.252322298358</v>
      </c>
      <c r="R117" s="17">
        <v>30920.959999999999</v>
      </c>
      <c r="S117" s="17">
        <v>20281.292322298359</v>
      </c>
      <c r="T117" s="17">
        <v>7756.98</v>
      </c>
    </row>
    <row r="118" spans="1:20" x14ac:dyDescent="0.3">
      <c r="A118" s="13">
        <v>45107</v>
      </c>
      <c r="B118" s="7" t="s">
        <v>107</v>
      </c>
      <c r="C118" s="7" t="s">
        <v>24</v>
      </c>
      <c r="D118" s="7" t="s">
        <v>104</v>
      </c>
      <c r="E118" s="7" t="s">
        <v>30</v>
      </c>
      <c r="F118" s="14">
        <v>706</v>
      </c>
      <c r="G118" s="15">
        <v>36.770000000000003</v>
      </c>
      <c r="H118" s="16">
        <v>3.3872603097215723E-2</v>
      </c>
      <c r="I118" s="16">
        <v>2.3541782236496771E-2</v>
      </c>
      <c r="J118" s="15">
        <v>22.29</v>
      </c>
      <c r="K118" s="14">
        <v>54</v>
      </c>
      <c r="L118" s="14">
        <v>3</v>
      </c>
      <c r="M118" s="15">
        <v>4.49</v>
      </c>
      <c r="N118" s="17">
        <v>25959.62</v>
      </c>
      <c r="O118" s="17">
        <v>879.31990481454329</v>
      </c>
      <c r="P118" s="17">
        <v>590.43496326684522</v>
      </c>
      <c r="Q118" s="17">
        <v>24489.86513191861</v>
      </c>
      <c r="R118" s="17">
        <v>15736.74</v>
      </c>
      <c r="S118" s="17">
        <v>8753.125131918614</v>
      </c>
      <c r="T118" s="17">
        <v>13.47</v>
      </c>
    </row>
    <row r="119" spans="1:20" x14ac:dyDescent="0.3">
      <c r="A119" s="13">
        <v>45107</v>
      </c>
      <c r="B119" s="7" t="s">
        <v>107</v>
      </c>
      <c r="C119" s="7" t="s">
        <v>27</v>
      </c>
      <c r="D119" s="7" t="s">
        <v>102</v>
      </c>
      <c r="E119" s="7" t="s">
        <v>25</v>
      </c>
      <c r="F119" s="14">
        <v>3854</v>
      </c>
      <c r="G119" s="15">
        <v>130.44999999999999</v>
      </c>
      <c r="H119" s="16">
        <v>7.6619732964428991E-2</v>
      </c>
      <c r="I119" s="16">
        <v>2.9299152336738479E-2</v>
      </c>
      <c r="J119" s="15">
        <v>69.89</v>
      </c>
      <c r="K119" s="14">
        <v>2751</v>
      </c>
      <c r="L119" s="14">
        <v>1086</v>
      </c>
      <c r="M119" s="15">
        <v>28.01</v>
      </c>
      <c r="N119" s="17">
        <v>502754.29999999987</v>
      </c>
      <c r="O119" s="17">
        <v>38520.900212718407</v>
      </c>
      <c r="P119" s="17">
        <v>13601.64510016958</v>
      </c>
      <c r="Q119" s="17">
        <v>450631.75468711188</v>
      </c>
      <c r="R119" s="17">
        <v>269356.06</v>
      </c>
      <c r="S119" s="17">
        <v>181275.69468711191</v>
      </c>
      <c r="T119" s="17">
        <v>30418.86</v>
      </c>
    </row>
    <row r="120" spans="1:20" x14ac:dyDescent="0.3">
      <c r="A120" s="13">
        <v>45107</v>
      </c>
      <c r="B120" s="7" t="s">
        <v>107</v>
      </c>
      <c r="C120" s="7" t="s">
        <v>27</v>
      </c>
      <c r="D120" s="7" t="s">
        <v>102</v>
      </c>
      <c r="E120" s="7" t="s">
        <v>28</v>
      </c>
      <c r="F120" s="14">
        <v>2188</v>
      </c>
      <c r="G120" s="15">
        <v>124.01</v>
      </c>
      <c r="H120" s="16">
        <v>7.3104217773429001E-2</v>
      </c>
      <c r="I120" s="16">
        <v>8.1656469061098899E-2</v>
      </c>
      <c r="J120" s="15">
        <v>73.06</v>
      </c>
      <c r="K120" s="14">
        <v>1841</v>
      </c>
      <c r="L120" s="14">
        <v>544</v>
      </c>
      <c r="M120" s="15">
        <v>21.62</v>
      </c>
      <c r="N120" s="17">
        <v>271333.88</v>
      </c>
      <c r="O120" s="17">
        <v>19835.651052829449</v>
      </c>
      <c r="P120" s="17">
        <v>20536.457350945799</v>
      </c>
      <c r="Q120" s="17">
        <v>230961.77159622469</v>
      </c>
      <c r="R120" s="17">
        <v>159855.28</v>
      </c>
      <c r="S120" s="17">
        <v>71106.491596224747</v>
      </c>
      <c r="T120" s="17">
        <v>11761.28</v>
      </c>
    </row>
    <row r="121" spans="1:20" x14ac:dyDescent="0.3">
      <c r="A121" s="13">
        <v>45107</v>
      </c>
      <c r="B121" s="7" t="s">
        <v>107</v>
      </c>
      <c r="C121" s="7" t="s">
        <v>27</v>
      </c>
      <c r="D121" s="7" t="s">
        <v>102</v>
      </c>
      <c r="E121" s="7" t="s">
        <v>30</v>
      </c>
      <c r="F121" s="14">
        <v>1877</v>
      </c>
      <c r="G121" s="15">
        <v>108.43</v>
      </c>
      <c r="H121" s="16">
        <v>4.3856336559205261E-2</v>
      </c>
      <c r="I121" s="16">
        <v>2.6645762650662159E-2</v>
      </c>
      <c r="J121" s="15">
        <v>73.67</v>
      </c>
      <c r="K121" s="14">
        <v>159</v>
      </c>
      <c r="L121" s="14">
        <v>10</v>
      </c>
      <c r="M121" s="15">
        <v>5.64</v>
      </c>
      <c r="N121" s="17">
        <v>203523.11</v>
      </c>
      <c r="O121" s="17">
        <v>8925.7780097361538</v>
      </c>
      <c r="P121" s="17">
        <v>5185.1943206646774</v>
      </c>
      <c r="Q121" s="17">
        <v>189412.13766959921</v>
      </c>
      <c r="R121" s="17">
        <v>138278.59</v>
      </c>
      <c r="S121" s="17">
        <v>51133.547669599182</v>
      </c>
      <c r="T121" s="17">
        <v>56.4</v>
      </c>
    </row>
    <row r="122" spans="1:20" x14ac:dyDescent="0.3">
      <c r="A122" s="13">
        <v>45107</v>
      </c>
      <c r="B122" s="7" t="s">
        <v>107</v>
      </c>
      <c r="C122" s="7" t="s">
        <v>27</v>
      </c>
      <c r="D122" s="7" t="s">
        <v>103</v>
      </c>
      <c r="E122" s="7" t="s">
        <v>25</v>
      </c>
      <c r="F122" s="14">
        <v>2171</v>
      </c>
      <c r="G122" s="15">
        <v>250.54</v>
      </c>
      <c r="H122" s="16">
        <v>5.963857844420091E-2</v>
      </c>
      <c r="I122" s="16">
        <v>2.5692248978819519E-2</v>
      </c>
      <c r="J122" s="15">
        <v>126.03</v>
      </c>
      <c r="K122" s="14">
        <v>1583</v>
      </c>
      <c r="L122" s="14">
        <v>577</v>
      </c>
      <c r="M122" s="15">
        <v>28.08</v>
      </c>
      <c r="N122" s="17">
        <v>543922.34</v>
      </c>
      <c r="O122" s="17">
        <v>32438.75514164332</v>
      </c>
      <c r="P122" s="17">
        <v>13141.163610760061</v>
      </c>
      <c r="Q122" s="17">
        <v>498342.42124759662</v>
      </c>
      <c r="R122" s="17">
        <v>273611.13</v>
      </c>
      <c r="S122" s="17">
        <v>224731.29124759659</v>
      </c>
      <c r="T122" s="17">
        <v>16202.16</v>
      </c>
    </row>
    <row r="123" spans="1:20" x14ac:dyDescent="0.3">
      <c r="A123" s="13">
        <v>45107</v>
      </c>
      <c r="B123" s="7" t="s">
        <v>107</v>
      </c>
      <c r="C123" s="7" t="s">
        <v>27</v>
      </c>
      <c r="D123" s="7" t="s">
        <v>103</v>
      </c>
      <c r="E123" s="7" t="s">
        <v>28</v>
      </c>
      <c r="F123" s="14">
        <v>1167</v>
      </c>
      <c r="G123" s="15">
        <v>214.71</v>
      </c>
      <c r="H123" s="16">
        <v>8.389386469013746E-2</v>
      </c>
      <c r="I123" s="16">
        <v>2.3641810100565649E-2</v>
      </c>
      <c r="J123" s="15">
        <v>119.58</v>
      </c>
      <c r="K123" s="14">
        <v>947</v>
      </c>
      <c r="L123" s="14">
        <v>276</v>
      </c>
      <c r="M123" s="15">
        <v>20.46</v>
      </c>
      <c r="N123" s="17">
        <v>250566.57</v>
      </c>
      <c r="O123" s="17">
        <v>21020.99791945186</v>
      </c>
      <c r="P123" s="17">
        <v>5426.8728245540233</v>
      </c>
      <c r="Q123" s="17">
        <v>224118.69925599411</v>
      </c>
      <c r="R123" s="17">
        <v>139549.85999999999</v>
      </c>
      <c r="S123" s="17">
        <v>84568.839255994157</v>
      </c>
      <c r="T123" s="17">
        <v>5646.96</v>
      </c>
    </row>
    <row r="124" spans="1:20" x14ac:dyDescent="0.3">
      <c r="A124" s="13">
        <v>45107</v>
      </c>
      <c r="B124" s="7" t="s">
        <v>107</v>
      </c>
      <c r="C124" s="7" t="s">
        <v>27</v>
      </c>
      <c r="D124" s="7" t="s">
        <v>103</v>
      </c>
      <c r="E124" s="7" t="s">
        <v>30</v>
      </c>
      <c r="F124" s="14">
        <v>924</v>
      </c>
      <c r="G124" s="15">
        <v>196.36</v>
      </c>
      <c r="H124" s="16">
        <v>3.9978384765456593E-2</v>
      </c>
      <c r="I124" s="16">
        <v>1.4208176554037289E-2</v>
      </c>
      <c r="J124" s="15">
        <v>131.21</v>
      </c>
      <c r="K124" s="14">
        <v>78</v>
      </c>
      <c r="L124" s="14">
        <v>4</v>
      </c>
      <c r="M124" s="15">
        <v>5.79</v>
      </c>
      <c r="N124" s="17">
        <v>181436.64</v>
      </c>
      <c r="O124" s="17">
        <v>7253.5438044716329</v>
      </c>
      <c r="P124" s="17">
        <v>2474.8241834749269</v>
      </c>
      <c r="Q124" s="17">
        <v>171708.27201205341</v>
      </c>
      <c r="R124" s="17">
        <v>121238.04</v>
      </c>
      <c r="S124" s="17">
        <v>50470.232012053428</v>
      </c>
      <c r="T124" s="17">
        <v>23.16</v>
      </c>
    </row>
    <row r="125" spans="1:20" x14ac:dyDescent="0.3">
      <c r="A125" s="13">
        <v>45107</v>
      </c>
      <c r="B125" s="7" t="s">
        <v>107</v>
      </c>
      <c r="C125" s="7" t="s">
        <v>27</v>
      </c>
      <c r="D125" s="7" t="s">
        <v>104</v>
      </c>
      <c r="E125" s="7" t="s">
        <v>25</v>
      </c>
      <c r="F125" s="14">
        <v>1696</v>
      </c>
      <c r="G125" s="15">
        <v>46.54</v>
      </c>
      <c r="H125" s="16">
        <v>5.7775403557314628E-2</v>
      </c>
      <c r="I125" s="16">
        <v>3.3180157520022013E-2</v>
      </c>
      <c r="J125" s="15">
        <v>22.33</v>
      </c>
      <c r="K125" s="14">
        <v>1171</v>
      </c>
      <c r="L125" s="14">
        <v>451</v>
      </c>
      <c r="M125" s="15">
        <v>30.38</v>
      </c>
      <c r="N125" s="17">
        <v>78931.839999999997</v>
      </c>
      <c r="O125" s="17">
        <v>4560.3189095213893</v>
      </c>
      <c r="P125" s="17">
        <v>2467.658784785719</v>
      </c>
      <c r="Q125" s="17">
        <v>71903.862305692892</v>
      </c>
      <c r="R125" s="17">
        <v>37871.68</v>
      </c>
      <c r="S125" s="17">
        <v>34032.182305692892</v>
      </c>
      <c r="T125" s="17">
        <v>13701.38</v>
      </c>
    </row>
    <row r="126" spans="1:20" x14ac:dyDescent="0.3">
      <c r="A126" s="13">
        <v>45107</v>
      </c>
      <c r="B126" s="7" t="s">
        <v>107</v>
      </c>
      <c r="C126" s="7" t="s">
        <v>27</v>
      </c>
      <c r="D126" s="7" t="s">
        <v>104</v>
      </c>
      <c r="E126" s="7" t="s">
        <v>28</v>
      </c>
      <c r="F126" s="14">
        <v>1109</v>
      </c>
      <c r="G126" s="15">
        <v>46.76</v>
      </c>
      <c r="H126" s="16">
        <v>0.108891298393911</v>
      </c>
      <c r="I126" s="16">
        <v>7.3869505243691527E-2</v>
      </c>
      <c r="J126" s="15">
        <v>23.06</v>
      </c>
      <c r="K126" s="14">
        <v>948</v>
      </c>
      <c r="L126" s="14">
        <v>275</v>
      </c>
      <c r="M126" s="15">
        <v>15.9</v>
      </c>
      <c r="N126" s="17">
        <v>51856.84</v>
      </c>
      <c r="O126" s="17">
        <v>5646.7586382053014</v>
      </c>
      <c r="P126" s="17">
        <v>3413.515847466505</v>
      </c>
      <c r="Q126" s="17">
        <v>42796.565514328191</v>
      </c>
      <c r="R126" s="17">
        <v>25573.54</v>
      </c>
      <c r="S126" s="17">
        <v>17223.02551432819</v>
      </c>
      <c r="T126" s="17">
        <v>4372.5</v>
      </c>
    </row>
    <row r="127" spans="1:20" x14ac:dyDescent="0.3">
      <c r="A127" s="13">
        <v>45107</v>
      </c>
      <c r="B127" s="7" t="s">
        <v>107</v>
      </c>
      <c r="C127" s="7" t="s">
        <v>27</v>
      </c>
      <c r="D127" s="7" t="s">
        <v>104</v>
      </c>
      <c r="E127" s="7" t="s">
        <v>30</v>
      </c>
      <c r="F127" s="14">
        <v>728</v>
      </c>
      <c r="G127" s="15">
        <v>40.85</v>
      </c>
      <c r="H127" s="16">
        <v>4.6297316291916017E-2</v>
      </c>
      <c r="I127" s="16">
        <v>1.7323823942197159E-2</v>
      </c>
      <c r="J127" s="15">
        <v>23.93</v>
      </c>
      <c r="K127" s="14">
        <v>62</v>
      </c>
      <c r="L127" s="14">
        <v>4</v>
      </c>
      <c r="M127" s="15">
        <v>5.18</v>
      </c>
      <c r="N127" s="17">
        <v>29738.799999999999</v>
      </c>
      <c r="O127" s="17">
        <v>1376.8266297420321</v>
      </c>
      <c r="P127" s="17">
        <v>491.33783331963338</v>
      </c>
      <c r="Q127" s="17">
        <v>27870.635536938331</v>
      </c>
      <c r="R127" s="17">
        <v>17421.04</v>
      </c>
      <c r="S127" s="17">
        <v>10449.59553693833</v>
      </c>
      <c r="T127" s="17">
        <v>20.72</v>
      </c>
    </row>
    <row r="128" spans="1:20" x14ac:dyDescent="0.3">
      <c r="A128" s="13">
        <v>45107</v>
      </c>
      <c r="B128" s="7" t="s">
        <v>107</v>
      </c>
      <c r="C128" s="7" t="s">
        <v>29</v>
      </c>
      <c r="D128" s="7" t="s">
        <v>102</v>
      </c>
      <c r="E128" s="7" t="s">
        <v>25</v>
      </c>
      <c r="F128" s="14">
        <v>5540</v>
      </c>
      <c r="G128" s="15">
        <v>115.6</v>
      </c>
      <c r="H128" s="16">
        <v>5.4137237967469963E-2</v>
      </c>
      <c r="I128" s="16">
        <v>3.5161141659456788E-2</v>
      </c>
      <c r="J128" s="15">
        <v>68.349999999999994</v>
      </c>
      <c r="K128" s="14">
        <v>3715</v>
      </c>
      <c r="L128" s="14">
        <v>1559</v>
      </c>
      <c r="M128" s="15">
        <v>34.44</v>
      </c>
      <c r="N128" s="17">
        <v>640424</v>
      </c>
      <c r="O128" s="17">
        <v>34670.786488078993</v>
      </c>
      <c r="P128" s="17">
        <v>21298.974550963831</v>
      </c>
      <c r="Q128" s="17">
        <v>584454.23896095715</v>
      </c>
      <c r="R128" s="17">
        <v>378658.99999999988</v>
      </c>
      <c r="S128" s="17">
        <v>205795.23896095721</v>
      </c>
      <c r="T128" s="17">
        <v>53691.96</v>
      </c>
    </row>
    <row r="129" spans="1:20" x14ac:dyDescent="0.3">
      <c r="A129" s="13">
        <v>45107</v>
      </c>
      <c r="B129" s="7" t="s">
        <v>107</v>
      </c>
      <c r="C129" s="7" t="s">
        <v>29</v>
      </c>
      <c r="D129" s="7" t="s">
        <v>102</v>
      </c>
      <c r="E129" s="7" t="s">
        <v>28</v>
      </c>
      <c r="F129" s="14">
        <v>1904</v>
      </c>
      <c r="G129" s="15">
        <v>113.92</v>
      </c>
      <c r="H129" s="16">
        <v>0.1133218327963596</v>
      </c>
      <c r="I129" s="16">
        <v>6.6544855045110485E-2</v>
      </c>
      <c r="J129" s="15">
        <v>69.09</v>
      </c>
      <c r="K129" s="14">
        <v>1550</v>
      </c>
      <c r="L129" s="14">
        <v>464</v>
      </c>
      <c r="M129" s="15">
        <v>18.39</v>
      </c>
      <c r="N129" s="17">
        <v>216903.67999999999</v>
      </c>
      <c r="O129" s="17">
        <v>24579.922557875081</v>
      </c>
      <c r="P129" s="17">
        <v>12798.156560717191</v>
      </c>
      <c r="Q129" s="17">
        <v>179525.60088140771</v>
      </c>
      <c r="R129" s="17">
        <v>131547.35999999999</v>
      </c>
      <c r="S129" s="17">
        <v>47978.240881407721</v>
      </c>
      <c r="T129" s="17">
        <v>8532.9600000000009</v>
      </c>
    </row>
    <row r="130" spans="1:20" x14ac:dyDescent="0.3">
      <c r="A130" s="13">
        <v>45107</v>
      </c>
      <c r="B130" s="7" t="s">
        <v>107</v>
      </c>
      <c r="C130" s="7" t="s">
        <v>29</v>
      </c>
      <c r="D130" s="7" t="s">
        <v>102</v>
      </c>
      <c r="E130" s="7" t="s">
        <v>30</v>
      </c>
      <c r="F130" s="14">
        <v>1549</v>
      </c>
      <c r="G130" s="15">
        <v>90.39</v>
      </c>
      <c r="H130" s="16">
        <v>4.2395338735631671E-2</v>
      </c>
      <c r="I130" s="16">
        <v>2.3235979698513709E-2</v>
      </c>
      <c r="J130" s="15">
        <v>68.010000000000005</v>
      </c>
      <c r="K130" s="14">
        <v>124</v>
      </c>
      <c r="L130" s="14">
        <v>7</v>
      </c>
      <c r="M130" s="15">
        <v>6.42</v>
      </c>
      <c r="N130" s="17">
        <v>140014.10999999999</v>
      </c>
      <c r="O130" s="17">
        <v>5935.9456212179948</v>
      </c>
      <c r="P130" s="17">
        <v>3115.4375055193618</v>
      </c>
      <c r="Q130" s="17">
        <v>130962.7268732626</v>
      </c>
      <c r="R130" s="17">
        <v>105347.49</v>
      </c>
      <c r="S130" s="17">
        <v>25615.236873262631</v>
      </c>
      <c r="T130" s="17">
        <v>44.94</v>
      </c>
    </row>
    <row r="131" spans="1:20" x14ac:dyDescent="0.3">
      <c r="A131" s="13">
        <v>45107</v>
      </c>
      <c r="B131" s="7" t="s">
        <v>107</v>
      </c>
      <c r="C131" s="7" t="s">
        <v>29</v>
      </c>
      <c r="D131" s="7" t="s">
        <v>103</v>
      </c>
      <c r="E131" s="7" t="s">
        <v>25</v>
      </c>
      <c r="F131" s="14">
        <v>1390</v>
      </c>
      <c r="G131" s="15">
        <v>216.41</v>
      </c>
      <c r="H131" s="16">
        <v>7.5155349223120824E-2</v>
      </c>
      <c r="I131" s="16">
        <v>3.5411157371310599E-2</v>
      </c>
      <c r="J131" s="15">
        <v>122.14</v>
      </c>
      <c r="K131" s="14">
        <v>902</v>
      </c>
      <c r="L131" s="14">
        <v>347</v>
      </c>
      <c r="M131" s="15">
        <v>31.78</v>
      </c>
      <c r="N131" s="17">
        <v>300809.90000000002</v>
      </c>
      <c r="O131" s="17">
        <v>22607.473084272049</v>
      </c>
      <c r="P131" s="17">
        <v>9851.4699205933794</v>
      </c>
      <c r="Q131" s="17">
        <v>268350.95699513459</v>
      </c>
      <c r="R131" s="17">
        <v>169774.6</v>
      </c>
      <c r="S131" s="17">
        <v>98576.356995134585</v>
      </c>
      <c r="T131" s="17">
        <v>11027.66</v>
      </c>
    </row>
    <row r="132" spans="1:20" x14ac:dyDescent="0.3">
      <c r="A132" s="13">
        <v>45107</v>
      </c>
      <c r="B132" s="7" t="s">
        <v>107</v>
      </c>
      <c r="C132" s="7" t="s">
        <v>29</v>
      </c>
      <c r="D132" s="7" t="s">
        <v>103</v>
      </c>
      <c r="E132" s="7" t="s">
        <v>28</v>
      </c>
      <c r="F132" s="14">
        <v>764</v>
      </c>
      <c r="G132" s="15">
        <v>190.42</v>
      </c>
      <c r="H132" s="16">
        <v>0.1099332947212996</v>
      </c>
      <c r="I132" s="16">
        <v>8.0701370312211765E-2</v>
      </c>
      <c r="J132" s="15">
        <v>116.09</v>
      </c>
      <c r="K132" s="14">
        <v>659</v>
      </c>
      <c r="L132" s="14">
        <v>205</v>
      </c>
      <c r="M132" s="15">
        <v>19.28</v>
      </c>
      <c r="N132" s="17">
        <v>145480.88</v>
      </c>
      <c r="O132" s="17">
        <v>15993.19245735402</v>
      </c>
      <c r="P132" s="17">
        <v>10449.83382325105</v>
      </c>
      <c r="Q132" s="17">
        <v>119037.8537193949</v>
      </c>
      <c r="R132" s="17">
        <v>88692.760000000009</v>
      </c>
      <c r="S132" s="17">
        <v>30345.093719394939</v>
      </c>
      <c r="T132" s="17">
        <v>3952.4</v>
      </c>
    </row>
    <row r="133" spans="1:20" x14ac:dyDescent="0.3">
      <c r="A133" s="13">
        <v>45107</v>
      </c>
      <c r="B133" s="7" t="s">
        <v>107</v>
      </c>
      <c r="C133" s="7" t="s">
        <v>29</v>
      </c>
      <c r="D133" s="7" t="s">
        <v>103</v>
      </c>
      <c r="E133" s="7" t="s">
        <v>30</v>
      </c>
      <c r="F133" s="14">
        <v>689</v>
      </c>
      <c r="G133" s="15">
        <v>170.02</v>
      </c>
      <c r="H133" s="16">
        <v>3.9846675574051332E-2</v>
      </c>
      <c r="I133" s="16">
        <v>2.5863645096296819E-2</v>
      </c>
      <c r="J133" s="15">
        <v>120.24</v>
      </c>
      <c r="K133" s="14">
        <v>58</v>
      </c>
      <c r="L133" s="14">
        <v>3</v>
      </c>
      <c r="M133" s="15">
        <v>4.67</v>
      </c>
      <c r="N133" s="17">
        <v>117143.78</v>
      </c>
      <c r="O133" s="17">
        <v>4667.7901971780429</v>
      </c>
      <c r="P133" s="17">
        <v>2909.0390821148881</v>
      </c>
      <c r="Q133" s="17">
        <v>109566.9507207071</v>
      </c>
      <c r="R133" s="17">
        <v>82845.36</v>
      </c>
      <c r="S133" s="17">
        <v>26721.590720707081</v>
      </c>
      <c r="T133" s="17">
        <v>14.01</v>
      </c>
    </row>
    <row r="134" spans="1:20" x14ac:dyDescent="0.3">
      <c r="A134" s="13">
        <v>45107</v>
      </c>
      <c r="B134" s="7" t="s">
        <v>107</v>
      </c>
      <c r="C134" s="7" t="s">
        <v>29</v>
      </c>
      <c r="D134" s="7" t="s">
        <v>104</v>
      </c>
      <c r="E134" s="7" t="s">
        <v>25</v>
      </c>
      <c r="F134" s="14">
        <v>1593</v>
      </c>
      <c r="G134" s="15">
        <v>41.26</v>
      </c>
      <c r="H134" s="16">
        <v>5.6738031527371807E-2</v>
      </c>
      <c r="I134" s="16">
        <v>2.8803301053738559E-2</v>
      </c>
      <c r="J134" s="15">
        <v>20.85</v>
      </c>
      <c r="K134" s="14">
        <v>973</v>
      </c>
      <c r="L134" s="14">
        <v>395</v>
      </c>
      <c r="M134" s="15">
        <v>38.69</v>
      </c>
      <c r="N134" s="17">
        <v>65727.179999999993</v>
      </c>
      <c r="O134" s="17">
        <v>3729.2308110452409</v>
      </c>
      <c r="P134" s="17">
        <v>1785.7455952038499</v>
      </c>
      <c r="Q134" s="17">
        <v>60212.203593750899</v>
      </c>
      <c r="R134" s="17">
        <v>33214.050000000003</v>
      </c>
      <c r="S134" s="17">
        <v>26998.1535937509</v>
      </c>
      <c r="T134" s="17">
        <v>15282.55</v>
      </c>
    </row>
    <row r="135" spans="1:20" x14ac:dyDescent="0.3">
      <c r="A135" s="13">
        <v>45107</v>
      </c>
      <c r="B135" s="7" t="s">
        <v>107</v>
      </c>
      <c r="C135" s="7" t="s">
        <v>29</v>
      </c>
      <c r="D135" s="7" t="s">
        <v>104</v>
      </c>
      <c r="E135" s="7" t="s">
        <v>28</v>
      </c>
      <c r="F135" s="14">
        <v>579</v>
      </c>
      <c r="G135" s="15">
        <v>41.03</v>
      </c>
      <c r="H135" s="16">
        <v>9.1037095529313439E-2</v>
      </c>
      <c r="I135" s="16">
        <v>4.0755116637171462E-2</v>
      </c>
      <c r="J135" s="15">
        <v>22.34</v>
      </c>
      <c r="K135" s="14">
        <v>489</v>
      </c>
      <c r="L135" s="14">
        <v>146</v>
      </c>
      <c r="M135" s="15">
        <v>16.399999999999999</v>
      </c>
      <c r="N135" s="17">
        <v>23756.37</v>
      </c>
      <c r="O135" s="17">
        <v>2162.7109251197162</v>
      </c>
      <c r="P135" s="17">
        <v>880.05209422006192</v>
      </c>
      <c r="Q135" s="17">
        <v>20713.606980660221</v>
      </c>
      <c r="R135" s="17">
        <v>12934.86</v>
      </c>
      <c r="S135" s="17">
        <v>7778.7469806602239</v>
      </c>
      <c r="T135" s="17">
        <v>2394.4</v>
      </c>
    </row>
    <row r="136" spans="1:20" x14ac:dyDescent="0.3">
      <c r="A136" s="13">
        <v>45107</v>
      </c>
      <c r="B136" s="7" t="s">
        <v>107</v>
      </c>
      <c r="C136" s="7" t="s">
        <v>29</v>
      </c>
      <c r="D136" s="7" t="s">
        <v>104</v>
      </c>
      <c r="E136" s="7" t="s">
        <v>30</v>
      </c>
      <c r="F136" s="14">
        <v>381</v>
      </c>
      <c r="G136" s="15">
        <v>36.119999999999997</v>
      </c>
      <c r="H136" s="16">
        <v>3.7908087193552847E-2</v>
      </c>
      <c r="I136" s="16">
        <v>1.8253711478407861E-2</v>
      </c>
      <c r="J136" s="15">
        <v>21.48</v>
      </c>
      <c r="K136" s="14">
        <v>31</v>
      </c>
      <c r="L136" s="14">
        <v>2</v>
      </c>
      <c r="M136" s="15">
        <v>6.87</v>
      </c>
      <c r="N136" s="17">
        <v>13761.72</v>
      </c>
      <c r="O136" s="17">
        <v>521.68048169326005</v>
      </c>
      <c r="P136" s="17">
        <v>241.67986132988941</v>
      </c>
      <c r="Q136" s="17">
        <v>12998.359656976851</v>
      </c>
      <c r="R136" s="17">
        <v>8183.88</v>
      </c>
      <c r="S136" s="17">
        <v>4814.4796569768496</v>
      </c>
      <c r="T136" s="17">
        <v>13.74</v>
      </c>
    </row>
    <row r="137" spans="1:20" x14ac:dyDescent="0.3">
      <c r="A137" s="13">
        <v>45107</v>
      </c>
      <c r="B137" s="7" t="s">
        <v>107</v>
      </c>
      <c r="C137" s="7" t="s">
        <v>31</v>
      </c>
      <c r="D137" s="7" t="s">
        <v>102</v>
      </c>
      <c r="E137" s="7" t="s">
        <v>25</v>
      </c>
      <c r="F137" s="14">
        <v>1857</v>
      </c>
      <c r="G137" s="15">
        <v>107.19</v>
      </c>
      <c r="H137" s="16">
        <v>5.7668620687613657E-2</v>
      </c>
      <c r="I137" s="16">
        <v>3.8036501509150222E-2</v>
      </c>
      <c r="J137" s="15">
        <v>66.760000000000005</v>
      </c>
      <c r="K137" s="14">
        <v>1303</v>
      </c>
      <c r="L137" s="14">
        <v>526</v>
      </c>
      <c r="M137" s="15">
        <v>31.79</v>
      </c>
      <c r="N137" s="17">
        <v>199051.83</v>
      </c>
      <c r="O137" s="17">
        <v>11479.04448144536</v>
      </c>
      <c r="P137" s="17">
        <v>7134.6125394520122</v>
      </c>
      <c r="Q137" s="17">
        <v>180438.17297910259</v>
      </c>
      <c r="R137" s="17">
        <v>123973.32</v>
      </c>
      <c r="S137" s="17">
        <v>56464.852979102609</v>
      </c>
      <c r="T137" s="17">
        <v>16721.54</v>
      </c>
    </row>
    <row r="138" spans="1:20" x14ac:dyDescent="0.3">
      <c r="A138" s="13">
        <v>45107</v>
      </c>
      <c r="B138" s="7" t="s">
        <v>107</v>
      </c>
      <c r="C138" s="7" t="s">
        <v>31</v>
      </c>
      <c r="D138" s="7" t="s">
        <v>102</v>
      </c>
      <c r="E138" s="7" t="s">
        <v>28</v>
      </c>
      <c r="F138" s="14">
        <v>898</v>
      </c>
      <c r="G138" s="15">
        <v>99.96</v>
      </c>
      <c r="H138" s="16">
        <v>9.1061575069267223E-2</v>
      </c>
      <c r="I138" s="16">
        <v>3.002698973201838E-2</v>
      </c>
      <c r="J138" s="15">
        <v>68.739999999999995</v>
      </c>
      <c r="K138" s="14">
        <v>750</v>
      </c>
      <c r="L138" s="14">
        <v>235</v>
      </c>
      <c r="M138" s="15">
        <v>19.12</v>
      </c>
      <c r="N138" s="17">
        <v>89764.079999999987</v>
      </c>
      <c r="O138" s="17">
        <v>8174.0585094437074</v>
      </c>
      <c r="P138" s="17">
        <v>2449.902737532092</v>
      </c>
      <c r="Q138" s="17">
        <v>79140.118753024188</v>
      </c>
      <c r="R138" s="17">
        <v>61728.52</v>
      </c>
      <c r="S138" s="17">
        <v>17411.598753024191</v>
      </c>
      <c r="T138" s="17">
        <v>4493.2</v>
      </c>
    </row>
    <row r="139" spans="1:20" x14ac:dyDescent="0.3">
      <c r="A139" s="13">
        <v>45107</v>
      </c>
      <c r="B139" s="7" t="s">
        <v>107</v>
      </c>
      <c r="C139" s="7" t="s">
        <v>31</v>
      </c>
      <c r="D139" s="7" t="s">
        <v>102</v>
      </c>
      <c r="E139" s="7" t="s">
        <v>30</v>
      </c>
      <c r="F139" s="14">
        <v>754</v>
      </c>
      <c r="G139" s="15">
        <v>87.07</v>
      </c>
      <c r="H139" s="16">
        <v>4.6649096900425097E-2</v>
      </c>
      <c r="I139" s="16">
        <v>1.4800470364372339E-2</v>
      </c>
      <c r="J139" s="15">
        <v>68.13</v>
      </c>
      <c r="K139" s="14">
        <v>56</v>
      </c>
      <c r="L139" s="14">
        <v>4</v>
      </c>
      <c r="M139" s="15">
        <v>4.05</v>
      </c>
      <c r="N139" s="17">
        <v>65650.78</v>
      </c>
      <c r="O139" s="17">
        <v>3062.54959780849</v>
      </c>
      <c r="P139" s="17">
        <v>926.33524922614367</v>
      </c>
      <c r="Q139" s="17">
        <v>61661.895152965371</v>
      </c>
      <c r="R139" s="17">
        <v>51370.02</v>
      </c>
      <c r="S139" s="17">
        <v>10291.875152965369</v>
      </c>
      <c r="T139" s="17">
        <v>16.2</v>
      </c>
    </row>
    <row r="140" spans="1:20" x14ac:dyDescent="0.3">
      <c r="A140" s="13">
        <v>45107</v>
      </c>
      <c r="B140" s="7" t="s">
        <v>107</v>
      </c>
      <c r="C140" s="7" t="s">
        <v>31</v>
      </c>
      <c r="D140" s="7" t="s">
        <v>103</v>
      </c>
      <c r="E140" s="7" t="s">
        <v>25</v>
      </c>
      <c r="F140" s="14">
        <v>704</v>
      </c>
      <c r="G140" s="15">
        <v>196.41</v>
      </c>
      <c r="H140" s="16">
        <v>6.7830609576198783E-2</v>
      </c>
      <c r="I140" s="16">
        <v>4.4956818879726052E-2</v>
      </c>
      <c r="J140" s="15">
        <v>115.2</v>
      </c>
      <c r="K140" s="14">
        <v>523</v>
      </c>
      <c r="L140" s="14">
        <v>196</v>
      </c>
      <c r="M140" s="15">
        <v>34.1</v>
      </c>
      <c r="N140" s="17">
        <v>138272.64000000001</v>
      </c>
      <c r="O140" s="17">
        <v>9379.1174589102866</v>
      </c>
      <c r="P140" s="17">
        <v>5794.6427476496556</v>
      </c>
      <c r="Q140" s="17">
        <v>123098.87979344001</v>
      </c>
      <c r="R140" s="17">
        <v>81100.800000000003</v>
      </c>
      <c r="S140" s="17">
        <v>41998.079793440033</v>
      </c>
      <c r="T140" s="17">
        <v>6683.6</v>
      </c>
    </row>
    <row r="141" spans="1:20" x14ac:dyDescent="0.3">
      <c r="A141" s="13">
        <v>45107</v>
      </c>
      <c r="B141" s="7" t="s">
        <v>107</v>
      </c>
      <c r="C141" s="7" t="s">
        <v>31</v>
      </c>
      <c r="D141" s="7" t="s">
        <v>103</v>
      </c>
      <c r="E141" s="7" t="s">
        <v>28</v>
      </c>
      <c r="F141" s="14">
        <v>552</v>
      </c>
      <c r="G141" s="15">
        <v>188.45</v>
      </c>
      <c r="H141" s="16">
        <v>0.1049246000949328</v>
      </c>
      <c r="I141" s="16">
        <v>7.7805454583405709E-2</v>
      </c>
      <c r="J141" s="15">
        <v>116.88</v>
      </c>
      <c r="K141" s="14">
        <v>459</v>
      </c>
      <c r="L141" s="14">
        <v>139</v>
      </c>
      <c r="M141" s="15">
        <v>14.3</v>
      </c>
      <c r="N141" s="17">
        <v>104024.4</v>
      </c>
      <c r="O141" s="17">
        <v>10914.718570115319</v>
      </c>
      <c r="P141" s="17">
        <v>7244.4410897682656</v>
      </c>
      <c r="Q141" s="17">
        <v>85865.240340116405</v>
      </c>
      <c r="R141" s="17">
        <v>64517.759999999987</v>
      </c>
      <c r="S141" s="17">
        <v>21347.48034011641</v>
      </c>
      <c r="T141" s="17">
        <v>1987.7</v>
      </c>
    </row>
    <row r="142" spans="1:20" x14ac:dyDescent="0.3">
      <c r="A142" s="13">
        <v>45107</v>
      </c>
      <c r="B142" s="7" t="s">
        <v>107</v>
      </c>
      <c r="C142" s="7" t="s">
        <v>31</v>
      </c>
      <c r="D142" s="7" t="s">
        <v>103</v>
      </c>
      <c r="E142" s="7" t="s">
        <v>30</v>
      </c>
      <c r="F142" s="14">
        <v>384</v>
      </c>
      <c r="G142" s="15">
        <v>157.16</v>
      </c>
      <c r="H142" s="16">
        <v>3.9615169920442048E-2</v>
      </c>
      <c r="I142" s="16">
        <v>2.16438120515174E-2</v>
      </c>
      <c r="J142" s="15">
        <v>115.79</v>
      </c>
      <c r="K142" s="14">
        <v>31</v>
      </c>
      <c r="L142" s="14">
        <v>2</v>
      </c>
      <c r="M142" s="15">
        <v>5.38</v>
      </c>
      <c r="N142" s="17">
        <v>60349.440000000002</v>
      </c>
      <c r="O142" s="17">
        <v>2390.753320203522</v>
      </c>
      <c r="P142" s="17">
        <v>1254.4469212503</v>
      </c>
      <c r="Q142" s="17">
        <v>56704.23975854618</v>
      </c>
      <c r="R142" s="17">
        <v>44463.360000000001</v>
      </c>
      <c r="S142" s="17">
        <v>12240.87975854618</v>
      </c>
      <c r="T142" s="17">
        <v>10.76</v>
      </c>
    </row>
    <row r="143" spans="1:20" x14ac:dyDescent="0.3">
      <c r="A143" s="13">
        <v>45107</v>
      </c>
      <c r="B143" s="7" t="s">
        <v>107</v>
      </c>
      <c r="C143" s="7" t="s">
        <v>31</v>
      </c>
      <c r="D143" s="7" t="s">
        <v>104</v>
      </c>
      <c r="E143" s="7" t="s">
        <v>25</v>
      </c>
      <c r="F143" s="14">
        <v>843</v>
      </c>
      <c r="G143" s="15">
        <v>40.92</v>
      </c>
      <c r="H143" s="16">
        <v>7.0705234400321768E-2</v>
      </c>
      <c r="I143" s="16">
        <v>2.7723921848630071E-2</v>
      </c>
      <c r="J143" s="15">
        <v>21.4</v>
      </c>
      <c r="K143" s="14">
        <v>592</v>
      </c>
      <c r="L143" s="14">
        <v>222</v>
      </c>
      <c r="M143" s="15">
        <v>36.04</v>
      </c>
      <c r="N143" s="17">
        <v>34495.56</v>
      </c>
      <c r="O143" s="17">
        <v>2439.016655570364</v>
      </c>
      <c r="P143" s="17">
        <v>888.7331024181899</v>
      </c>
      <c r="Q143" s="17">
        <v>31167.810242011448</v>
      </c>
      <c r="R143" s="17">
        <v>18040.2</v>
      </c>
      <c r="S143" s="17">
        <v>13127.610242011449</v>
      </c>
      <c r="T143" s="17">
        <v>8000.88</v>
      </c>
    </row>
    <row r="144" spans="1:20" x14ac:dyDescent="0.3">
      <c r="A144" s="13">
        <v>45107</v>
      </c>
      <c r="B144" s="7" t="s">
        <v>107</v>
      </c>
      <c r="C144" s="7" t="s">
        <v>31</v>
      </c>
      <c r="D144" s="7" t="s">
        <v>104</v>
      </c>
      <c r="E144" s="7" t="s">
        <v>28</v>
      </c>
      <c r="F144" s="14">
        <v>272</v>
      </c>
      <c r="G144" s="15">
        <v>37.68</v>
      </c>
      <c r="H144" s="16">
        <v>8.7663530372167758E-2</v>
      </c>
      <c r="I144" s="16">
        <v>6.0233685713722007E-2</v>
      </c>
      <c r="J144" s="15">
        <v>20.329999999999998</v>
      </c>
      <c r="K144" s="14">
        <v>239</v>
      </c>
      <c r="L144" s="14">
        <v>71</v>
      </c>
      <c r="M144" s="15">
        <v>13.33</v>
      </c>
      <c r="N144" s="17">
        <v>10248.959999999999</v>
      </c>
      <c r="O144" s="17">
        <v>898.46001624313237</v>
      </c>
      <c r="P144" s="17">
        <v>563.21507728777385</v>
      </c>
      <c r="Q144" s="17">
        <v>8787.2849064690927</v>
      </c>
      <c r="R144" s="17">
        <v>5529.7599999999993</v>
      </c>
      <c r="S144" s="17">
        <v>3257.5249064690929</v>
      </c>
      <c r="T144" s="17">
        <v>946.43</v>
      </c>
    </row>
    <row r="145" spans="1:20" x14ac:dyDescent="0.3">
      <c r="A145" s="13">
        <v>45107</v>
      </c>
      <c r="B145" s="7" t="s">
        <v>107</v>
      </c>
      <c r="C145" s="7" t="s">
        <v>31</v>
      </c>
      <c r="D145" s="7" t="s">
        <v>104</v>
      </c>
      <c r="E145" s="7" t="s">
        <v>30</v>
      </c>
      <c r="F145" s="14">
        <v>305</v>
      </c>
      <c r="G145" s="15">
        <v>31</v>
      </c>
      <c r="H145" s="16">
        <v>3.6166229513862988E-2</v>
      </c>
      <c r="I145" s="16">
        <v>1.3384551032962509E-2</v>
      </c>
      <c r="J145" s="15">
        <v>22.06</v>
      </c>
      <c r="K145" s="14">
        <v>25</v>
      </c>
      <c r="L145" s="14">
        <v>1</v>
      </c>
      <c r="M145" s="15">
        <v>5.91</v>
      </c>
      <c r="N145" s="17">
        <v>9455</v>
      </c>
      <c r="O145" s="17">
        <v>341.95170005357448</v>
      </c>
      <c r="P145" s="17">
        <v>121.9740600364852</v>
      </c>
      <c r="Q145" s="17">
        <v>8991.0742399099399</v>
      </c>
      <c r="R145" s="17">
        <v>6728.2999999999993</v>
      </c>
      <c r="S145" s="17">
        <v>2262.7742399099411</v>
      </c>
      <c r="T145" s="17">
        <v>5.91</v>
      </c>
    </row>
    <row r="146" spans="1:20" x14ac:dyDescent="0.3">
      <c r="A146" s="13">
        <v>45138</v>
      </c>
      <c r="B146" s="7" t="s">
        <v>108</v>
      </c>
      <c r="C146" s="7" t="s">
        <v>24</v>
      </c>
      <c r="D146" s="7" t="s">
        <v>102</v>
      </c>
      <c r="E146" s="7" t="s">
        <v>25</v>
      </c>
      <c r="F146" s="14">
        <v>9918</v>
      </c>
      <c r="G146" s="15">
        <v>113.86</v>
      </c>
      <c r="H146" s="16">
        <v>8.061848315331667E-2</v>
      </c>
      <c r="I146" s="16">
        <v>2.6104275332364039E-2</v>
      </c>
      <c r="J146" s="15">
        <v>67.08</v>
      </c>
      <c r="K146" s="14">
        <v>7109</v>
      </c>
      <c r="L146" s="14">
        <v>2649</v>
      </c>
      <c r="M146" s="15">
        <v>37.89</v>
      </c>
      <c r="N146" s="17">
        <v>1129263.48</v>
      </c>
      <c r="O146" s="17">
        <v>91039.508838035748</v>
      </c>
      <c r="P146" s="17">
        <v>27102.084399872299</v>
      </c>
      <c r="Q146" s="17">
        <v>1011121.886762092</v>
      </c>
      <c r="R146" s="17">
        <v>665299.43999999994</v>
      </c>
      <c r="S146" s="17">
        <v>345822.44676209189</v>
      </c>
      <c r="T146" s="17">
        <v>100370.61</v>
      </c>
    </row>
    <row r="147" spans="1:20" x14ac:dyDescent="0.3">
      <c r="A147" s="13">
        <v>45138</v>
      </c>
      <c r="B147" s="7" t="s">
        <v>108</v>
      </c>
      <c r="C147" s="7" t="s">
        <v>24</v>
      </c>
      <c r="D147" s="7" t="s">
        <v>102</v>
      </c>
      <c r="E147" s="7" t="s">
        <v>28</v>
      </c>
      <c r="F147" s="14">
        <v>4663</v>
      </c>
      <c r="G147" s="15">
        <v>115.86</v>
      </c>
      <c r="H147" s="16">
        <v>0.1015211100435342</v>
      </c>
      <c r="I147" s="16">
        <v>7.1383928846801475E-2</v>
      </c>
      <c r="J147" s="15">
        <v>71.16</v>
      </c>
      <c r="K147" s="14">
        <v>4101</v>
      </c>
      <c r="L147" s="14">
        <v>1272</v>
      </c>
      <c r="M147" s="15">
        <v>18.34</v>
      </c>
      <c r="N147" s="17">
        <v>540255.18000000005</v>
      </c>
      <c r="O147" s="17">
        <v>54847.305580369357</v>
      </c>
      <c r="P147" s="17">
        <v>34650.321169248062</v>
      </c>
      <c r="Q147" s="17">
        <v>450757.5532503826</v>
      </c>
      <c r="R147" s="17">
        <v>331819.08</v>
      </c>
      <c r="S147" s="17">
        <v>118938.47325038259</v>
      </c>
      <c r="T147" s="17">
        <v>23328.48</v>
      </c>
    </row>
    <row r="148" spans="1:20" x14ac:dyDescent="0.3">
      <c r="A148" s="13">
        <v>45138</v>
      </c>
      <c r="B148" s="7" t="s">
        <v>108</v>
      </c>
      <c r="C148" s="7" t="s">
        <v>24</v>
      </c>
      <c r="D148" s="7" t="s">
        <v>102</v>
      </c>
      <c r="E148" s="7" t="s">
        <v>30</v>
      </c>
      <c r="F148" s="14">
        <v>2377</v>
      </c>
      <c r="G148" s="15">
        <v>95.37</v>
      </c>
      <c r="H148" s="16">
        <v>3.9409962239231502E-2</v>
      </c>
      <c r="I148" s="16">
        <v>1.505704446424541E-2</v>
      </c>
      <c r="J148" s="15">
        <v>68.23</v>
      </c>
      <c r="K148" s="14">
        <v>192</v>
      </c>
      <c r="L148" s="14">
        <v>11</v>
      </c>
      <c r="M148" s="15">
        <v>5.16</v>
      </c>
      <c r="N148" s="17">
        <v>226694.49</v>
      </c>
      <c r="O148" s="17">
        <v>8934.0212907418445</v>
      </c>
      <c r="P148" s="17">
        <v>3278.829059910222</v>
      </c>
      <c r="Q148" s="17">
        <v>214481.63964934801</v>
      </c>
      <c r="R148" s="17">
        <v>162182.71</v>
      </c>
      <c r="S148" s="17">
        <v>52298.929649347927</v>
      </c>
      <c r="T148" s="17">
        <v>56.760000000000012</v>
      </c>
    </row>
    <row r="149" spans="1:20" x14ac:dyDescent="0.3">
      <c r="A149" s="13">
        <v>45138</v>
      </c>
      <c r="B149" s="7" t="s">
        <v>108</v>
      </c>
      <c r="C149" s="7" t="s">
        <v>24</v>
      </c>
      <c r="D149" s="7" t="s">
        <v>103</v>
      </c>
      <c r="E149" s="7" t="s">
        <v>25</v>
      </c>
      <c r="F149" s="14">
        <v>3861</v>
      </c>
      <c r="G149" s="15">
        <v>217.14</v>
      </c>
      <c r="H149" s="16">
        <v>6.8466940691893935E-2</v>
      </c>
      <c r="I149" s="16">
        <v>3.0175126064616909E-2</v>
      </c>
      <c r="J149" s="15">
        <v>120.15</v>
      </c>
      <c r="K149" s="14">
        <v>2761</v>
      </c>
      <c r="L149" s="14">
        <v>950</v>
      </c>
      <c r="M149" s="15">
        <v>35.17</v>
      </c>
      <c r="N149" s="17">
        <v>838377.53999999992</v>
      </c>
      <c r="O149" s="17">
        <v>57401.145308595929</v>
      </c>
      <c r="P149" s="17">
        <v>23566.061163303119</v>
      </c>
      <c r="Q149" s="17">
        <v>757410.33352810086</v>
      </c>
      <c r="R149" s="17">
        <v>463899.15</v>
      </c>
      <c r="S149" s="17">
        <v>293511.18352810078</v>
      </c>
      <c r="T149" s="17">
        <v>33411.5</v>
      </c>
    </row>
    <row r="150" spans="1:20" x14ac:dyDescent="0.3">
      <c r="A150" s="13">
        <v>45138</v>
      </c>
      <c r="B150" s="7" t="s">
        <v>108</v>
      </c>
      <c r="C150" s="7" t="s">
        <v>24</v>
      </c>
      <c r="D150" s="7" t="s">
        <v>103</v>
      </c>
      <c r="E150" s="7" t="s">
        <v>28</v>
      </c>
      <c r="F150" s="14">
        <v>1148</v>
      </c>
      <c r="G150" s="15">
        <v>206.15</v>
      </c>
      <c r="H150" s="16">
        <v>9.4317056110924252E-2</v>
      </c>
      <c r="I150" s="16">
        <v>3.610509399702496E-2</v>
      </c>
      <c r="J150" s="15">
        <v>122.56</v>
      </c>
      <c r="K150" s="14">
        <v>961</v>
      </c>
      <c r="L150" s="14">
        <v>265</v>
      </c>
      <c r="M150" s="15">
        <v>17.940000000000001</v>
      </c>
      <c r="N150" s="17">
        <v>236660.2</v>
      </c>
      <c r="O150" s="17">
        <v>22321.09336262256</v>
      </c>
      <c r="P150" s="17">
        <v>7738.7335923808696</v>
      </c>
      <c r="Q150" s="17">
        <v>206600.37304499661</v>
      </c>
      <c r="R150" s="17">
        <v>140698.88</v>
      </c>
      <c r="S150" s="17">
        <v>65901.493044996605</v>
      </c>
      <c r="T150" s="17">
        <v>4754.1000000000004</v>
      </c>
    </row>
    <row r="151" spans="1:20" x14ac:dyDescent="0.3">
      <c r="A151" s="13">
        <v>45138</v>
      </c>
      <c r="B151" s="7" t="s">
        <v>108</v>
      </c>
      <c r="C151" s="7" t="s">
        <v>24</v>
      </c>
      <c r="D151" s="7" t="s">
        <v>103</v>
      </c>
      <c r="E151" s="7" t="s">
        <v>30</v>
      </c>
      <c r="F151" s="14">
        <v>1207</v>
      </c>
      <c r="G151" s="15">
        <v>183.15</v>
      </c>
      <c r="H151" s="16">
        <v>3.7423566753248483E-2</v>
      </c>
      <c r="I151" s="16">
        <v>2.0611487515161422E-2</v>
      </c>
      <c r="J151" s="15">
        <v>122.93</v>
      </c>
      <c r="K151" s="14">
        <v>101</v>
      </c>
      <c r="L151" s="14">
        <v>7</v>
      </c>
      <c r="M151" s="15">
        <v>5.04</v>
      </c>
      <c r="N151" s="17">
        <v>221062.05</v>
      </c>
      <c r="O151" s="17">
        <v>8272.9303847849551</v>
      </c>
      <c r="P151" s="17">
        <v>4385.900282311195</v>
      </c>
      <c r="Q151" s="17">
        <v>208403.21933290389</v>
      </c>
      <c r="R151" s="17">
        <v>148376.51</v>
      </c>
      <c r="S151" s="17">
        <v>60026.709332903847</v>
      </c>
      <c r="T151" s="17">
        <v>35.28</v>
      </c>
    </row>
    <row r="152" spans="1:20" x14ac:dyDescent="0.3">
      <c r="A152" s="13">
        <v>45138</v>
      </c>
      <c r="B152" s="7" t="s">
        <v>108</v>
      </c>
      <c r="C152" s="7" t="s">
        <v>24</v>
      </c>
      <c r="D152" s="7" t="s">
        <v>104</v>
      </c>
      <c r="E152" s="7" t="s">
        <v>25</v>
      </c>
      <c r="F152" s="14">
        <v>2422</v>
      </c>
      <c r="G152" s="15">
        <v>43.95</v>
      </c>
      <c r="H152" s="16">
        <v>7.5746190688682449E-2</v>
      </c>
      <c r="I152" s="16">
        <v>2.7561367646087149E-2</v>
      </c>
      <c r="J152" s="15">
        <v>21.72</v>
      </c>
      <c r="K152" s="14">
        <v>1623</v>
      </c>
      <c r="L152" s="14">
        <v>592</v>
      </c>
      <c r="M152" s="15">
        <v>27.86</v>
      </c>
      <c r="N152" s="17">
        <v>106446.9</v>
      </c>
      <c r="O152" s="17">
        <v>8062.9471856191121</v>
      </c>
      <c r="P152" s="17">
        <v>2711.596293992442</v>
      </c>
      <c r="Q152" s="17">
        <v>95672.356520388465</v>
      </c>
      <c r="R152" s="17">
        <v>52605.84</v>
      </c>
      <c r="S152" s="17">
        <v>43066.516520388468</v>
      </c>
      <c r="T152" s="17">
        <v>16493.12</v>
      </c>
    </row>
    <row r="153" spans="1:20" x14ac:dyDescent="0.3">
      <c r="A153" s="13">
        <v>45138</v>
      </c>
      <c r="B153" s="7" t="s">
        <v>108</v>
      </c>
      <c r="C153" s="7" t="s">
        <v>24</v>
      </c>
      <c r="D153" s="7" t="s">
        <v>104</v>
      </c>
      <c r="E153" s="7" t="s">
        <v>28</v>
      </c>
      <c r="F153" s="14">
        <v>1284</v>
      </c>
      <c r="G153" s="15">
        <v>42.09</v>
      </c>
      <c r="H153" s="16">
        <v>9.3766421190021335E-2</v>
      </c>
      <c r="I153" s="16">
        <v>4.7469794201103643E-2</v>
      </c>
      <c r="J153" s="15">
        <v>23.6</v>
      </c>
      <c r="K153" s="14">
        <v>1057</v>
      </c>
      <c r="L153" s="14">
        <v>341</v>
      </c>
      <c r="M153" s="15">
        <v>14.15</v>
      </c>
      <c r="N153" s="17">
        <v>54043.56</v>
      </c>
      <c r="O153" s="17">
        <v>5067.4712095681898</v>
      </c>
      <c r="P153" s="17">
        <v>2324.8848556567768</v>
      </c>
      <c r="Q153" s="17">
        <v>46651.20393477504</v>
      </c>
      <c r="R153" s="17">
        <v>30302.400000000001</v>
      </c>
      <c r="S153" s="17">
        <v>16348.80393477504</v>
      </c>
      <c r="T153" s="17">
        <v>4825.1500000000005</v>
      </c>
    </row>
    <row r="154" spans="1:20" x14ac:dyDescent="0.3">
      <c r="A154" s="13">
        <v>45138</v>
      </c>
      <c r="B154" s="7" t="s">
        <v>108</v>
      </c>
      <c r="C154" s="7" t="s">
        <v>24</v>
      </c>
      <c r="D154" s="7" t="s">
        <v>104</v>
      </c>
      <c r="E154" s="7" t="s">
        <v>30</v>
      </c>
      <c r="F154" s="14">
        <v>924</v>
      </c>
      <c r="G154" s="15">
        <v>37.17</v>
      </c>
      <c r="H154" s="16">
        <v>3.9221075801599441E-2</v>
      </c>
      <c r="I154" s="16">
        <v>2.0219057359895549E-2</v>
      </c>
      <c r="J154" s="15">
        <v>22.08</v>
      </c>
      <c r="K154" s="14">
        <v>79</v>
      </c>
      <c r="L154" s="14">
        <v>5</v>
      </c>
      <c r="M154" s="15">
        <v>5.87</v>
      </c>
      <c r="N154" s="17">
        <v>34345.08</v>
      </c>
      <c r="O154" s="17">
        <v>1347.0509860919969</v>
      </c>
      <c r="P154" s="17">
        <v>667.1890413957035</v>
      </c>
      <c r="Q154" s="17">
        <v>32330.839972512302</v>
      </c>
      <c r="R154" s="17">
        <v>20401.919999999998</v>
      </c>
      <c r="S154" s="17">
        <v>11928.9199725123</v>
      </c>
      <c r="T154" s="17">
        <v>29.35</v>
      </c>
    </row>
    <row r="155" spans="1:20" x14ac:dyDescent="0.3">
      <c r="A155" s="13">
        <v>45138</v>
      </c>
      <c r="B155" s="7" t="s">
        <v>108</v>
      </c>
      <c r="C155" s="7" t="s">
        <v>27</v>
      </c>
      <c r="D155" s="7" t="s">
        <v>102</v>
      </c>
      <c r="E155" s="7" t="s">
        <v>25</v>
      </c>
      <c r="F155" s="14">
        <v>6890</v>
      </c>
      <c r="G155" s="15">
        <v>130.87</v>
      </c>
      <c r="H155" s="16">
        <v>8.321738403888887E-2</v>
      </c>
      <c r="I155" s="16">
        <v>3.1963254320302691E-2</v>
      </c>
      <c r="J155" s="15">
        <v>76.989999999999995</v>
      </c>
      <c r="K155" s="14">
        <v>4646</v>
      </c>
      <c r="L155" s="14">
        <v>1620</v>
      </c>
      <c r="M155" s="15">
        <v>41.66</v>
      </c>
      <c r="N155" s="17">
        <v>901694.3</v>
      </c>
      <c r="O155" s="17">
        <v>75036.640848777082</v>
      </c>
      <c r="P155" s="17">
        <v>26422.668995276639</v>
      </c>
      <c r="Q155" s="17">
        <v>800234.99015594635</v>
      </c>
      <c r="R155" s="17">
        <v>530461.1</v>
      </c>
      <c r="S155" s="17">
        <v>269773.89015594643</v>
      </c>
      <c r="T155" s="17">
        <v>67489.2</v>
      </c>
    </row>
    <row r="156" spans="1:20" x14ac:dyDescent="0.3">
      <c r="A156" s="13">
        <v>45138</v>
      </c>
      <c r="B156" s="7" t="s">
        <v>108</v>
      </c>
      <c r="C156" s="7" t="s">
        <v>27</v>
      </c>
      <c r="D156" s="7" t="s">
        <v>102</v>
      </c>
      <c r="E156" s="7" t="s">
        <v>28</v>
      </c>
      <c r="F156" s="14">
        <v>1904</v>
      </c>
      <c r="G156" s="15">
        <v>122.12</v>
      </c>
      <c r="H156" s="16">
        <v>8.7251665138618123E-2</v>
      </c>
      <c r="I156" s="16">
        <v>5.1274786290770341E-2</v>
      </c>
      <c r="J156" s="15">
        <v>71.150000000000006</v>
      </c>
      <c r="K156" s="14">
        <v>1623</v>
      </c>
      <c r="L156" s="14">
        <v>534</v>
      </c>
      <c r="M156" s="15">
        <v>15.9</v>
      </c>
      <c r="N156" s="17">
        <v>232516.48000000001</v>
      </c>
      <c r="O156" s="17">
        <v>20287.450052170199</v>
      </c>
      <c r="P156" s="17">
        <v>10881.998155272469</v>
      </c>
      <c r="Q156" s="17">
        <v>201347.0317925573</v>
      </c>
      <c r="R156" s="17">
        <v>135469.6</v>
      </c>
      <c r="S156" s="17">
        <v>65877.431792557327</v>
      </c>
      <c r="T156" s="17">
        <v>8490.6</v>
      </c>
    </row>
    <row r="157" spans="1:20" x14ac:dyDescent="0.3">
      <c r="A157" s="13">
        <v>45138</v>
      </c>
      <c r="B157" s="7" t="s">
        <v>108</v>
      </c>
      <c r="C157" s="7" t="s">
        <v>27</v>
      </c>
      <c r="D157" s="7" t="s">
        <v>102</v>
      </c>
      <c r="E157" s="7" t="s">
        <v>30</v>
      </c>
      <c r="F157" s="14">
        <v>1350</v>
      </c>
      <c r="G157" s="15">
        <v>108.18</v>
      </c>
      <c r="H157" s="16">
        <v>3.0664626122778239E-2</v>
      </c>
      <c r="I157" s="16">
        <v>2.1654401161072281E-2</v>
      </c>
      <c r="J157" s="15">
        <v>75.22</v>
      </c>
      <c r="K157" s="14">
        <v>113</v>
      </c>
      <c r="L157" s="14">
        <v>6</v>
      </c>
      <c r="M157" s="15">
        <v>3.21</v>
      </c>
      <c r="N157" s="17">
        <v>146043</v>
      </c>
      <c r="O157" s="17">
        <v>4478.3539928489017</v>
      </c>
      <c r="P157" s="17">
        <v>3065.4976348640398</v>
      </c>
      <c r="Q157" s="17">
        <v>138499.14837228711</v>
      </c>
      <c r="R157" s="17">
        <v>101547</v>
      </c>
      <c r="S157" s="17">
        <v>36952.148372287083</v>
      </c>
      <c r="T157" s="17">
        <v>19.260000000000002</v>
      </c>
    </row>
    <row r="158" spans="1:20" x14ac:dyDescent="0.3">
      <c r="A158" s="13">
        <v>45138</v>
      </c>
      <c r="B158" s="7" t="s">
        <v>108</v>
      </c>
      <c r="C158" s="7" t="s">
        <v>27</v>
      </c>
      <c r="D158" s="7" t="s">
        <v>103</v>
      </c>
      <c r="E158" s="7" t="s">
        <v>25</v>
      </c>
      <c r="F158" s="14">
        <v>2250</v>
      </c>
      <c r="G158" s="15">
        <v>250.52</v>
      </c>
      <c r="H158" s="16">
        <v>6.3771171084294406E-2</v>
      </c>
      <c r="I158" s="16">
        <v>3.294988144241591E-2</v>
      </c>
      <c r="J158" s="15">
        <v>125.59</v>
      </c>
      <c r="K158" s="14">
        <v>1628</v>
      </c>
      <c r="L158" s="14">
        <v>574</v>
      </c>
      <c r="M158" s="15">
        <v>35.22</v>
      </c>
      <c r="N158" s="17">
        <v>563670</v>
      </c>
      <c r="O158" s="17">
        <v>35945.896005084229</v>
      </c>
      <c r="P158" s="17">
        <v>17388.44666093764</v>
      </c>
      <c r="Q158" s="17">
        <v>510335.6573339781</v>
      </c>
      <c r="R158" s="17">
        <v>282577.5</v>
      </c>
      <c r="S158" s="17">
        <v>227758.1573339781</v>
      </c>
      <c r="T158" s="17">
        <v>20216.28</v>
      </c>
    </row>
    <row r="159" spans="1:20" x14ac:dyDescent="0.3">
      <c r="A159" s="13">
        <v>45138</v>
      </c>
      <c r="B159" s="7" t="s">
        <v>108</v>
      </c>
      <c r="C159" s="7" t="s">
        <v>27</v>
      </c>
      <c r="D159" s="7" t="s">
        <v>103</v>
      </c>
      <c r="E159" s="7" t="s">
        <v>28</v>
      </c>
      <c r="F159" s="14">
        <v>969</v>
      </c>
      <c r="G159" s="15">
        <v>226.99</v>
      </c>
      <c r="H159" s="16">
        <v>7.0914854291782764E-2</v>
      </c>
      <c r="I159" s="16">
        <v>5.8331609079769503E-2</v>
      </c>
      <c r="J159" s="15">
        <v>122.39</v>
      </c>
      <c r="K159" s="14">
        <v>825</v>
      </c>
      <c r="L159" s="14">
        <v>234</v>
      </c>
      <c r="M159" s="15">
        <v>15.62</v>
      </c>
      <c r="N159" s="17">
        <v>219953.31</v>
      </c>
      <c r="O159" s="17">
        <v>15597.956929645319</v>
      </c>
      <c r="P159" s="17">
        <v>11920.376568658199</v>
      </c>
      <c r="Q159" s="17">
        <v>192434.97650169651</v>
      </c>
      <c r="R159" s="17">
        <v>118595.91</v>
      </c>
      <c r="S159" s="17">
        <v>73839.066501696478</v>
      </c>
      <c r="T159" s="17">
        <v>3655.08</v>
      </c>
    </row>
    <row r="160" spans="1:20" x14ac:dyDescent="0.3">
      <c r="A160" s="13">
        <v>45138</v>
      </c>
      <c r="B160" s="7" t="s">
        <v>108</v>
      </c>
      <c r="C160" s="7" t="s">
        <v>27</v>
      </c>
      <c r="D160" s="7" t="s">
        <v>103</v>
      </c>
      <c r="E160" s="7" t="s">
        <v>30</v>
      </c>
      <c r="F160" s="14">
        <v>956</v>
      </c>
      <c r="G160" s="15">
        <v>191.8</v>
      </c>
      <c r="H160" s="16">
        <v>3.810154930183119E-2</v>
      </c>
      <c r="I160" s="16">
        <v>2.6065488499895921E-2</v>
      </c>
      <c r="J160" s="15">
        <v>126.34</v>
      </c>
      <c r="K160" s="14">
        <v>83</v>
      </c>
      <c r="L160" s="14">
        <v>5</v>
      </c>
      <c r="M160" s="15">
        <v>7.09</v>
      </c>
      <c r="N160" s="17">
        <v>183360.8</v>
      </c>
      <c r="O160" s="17">
        <v>6986.3305612232089</v>
      </c>
      <c r="P160" s="17">
        <v>4597.2867048316812</v>
      </c>
      <c r="Q160" s="17">
        <v>171777.18273394511</v>
      </c>
      <c r="R160" s="17">
        <v>120781.04</v>
      </c>
      <c r="S160" s="17">
        <v>50996.142733945133</v>
      </c>
      <c r="T160" s="17">
        <v>35.450000000000003</v>
      </c>
    </row>
    <row r="161" spans="1:20" x14ac:dyDescent="0.3">
      <c r="A161" s="13">
        <v>45138</v>
      </c>
      <c r="B161" s="7" t="s">
        <v>108</v>
      </c>
      <c r="C161" s="7" t="s">
        <v>27</v>
      </c>
      <c r="D161" s="7" t="s">
        <v>104</v>
      </c>
      <c r="E161" s="7" t="s">
        <v>25</v>
      </c>
      <c r="F161" s="14">
        <v>1807</v>
      </c>
      <c r="G161" s="15">
        <v>49.35</v>
      </c>
      <c r="H161" s="16">
        <v>5.8627771472575113E-2</v>
      </c>
      <c r="I161" s="16">
        <v>4.708108676688591E-2</v>
      </c>
      <c r="J161" s="15">
        <v>23.73</v>
      </c>
      <c r="K161" s="14">
        <v>1256</v>
      </c>
      <c r="L161" s="14">
        <v>468</v>
      </c>
      <c r="M161" s="15">
        <v>27.47</v>
      </c>
      <c r="N161" s="17">
        <v>89175.45</v>
      </c>
      <c r="O161" s="17">
        <v>5228.157903564048</v>
      </c>
      <c r="P161" s="17">
        <v>3952.3297430374168</v>
      </c>
      <c r="Q161" s="17">
        <v>79994.962353398529</v>
      </c>
      <c r="R161" s="17">
        <v>42880.11</v>
      </c>
      <c r="S161" s="17">
        <v>37114.852353398528</v>
      </c>
      <c r="T161" s="17">
        <v>12855.96</v>
      </c>
    </row>
    <row r="162" spans="1:20" x14ac:dyDescent="0.3">
      <c r="A162" s="13">
        <v>45138</v>
      </c>
      <c r="B162" s="7" t="s">
        <v>108</v>
      </c>
      <c r="C162" s="7" t="s">
        <v>27</v>
      </c>
      <c r="D162" s="7" t="s">
        <v>104</v>
      </c>
      <c r="E162" s="7" t="s">
        <v>28</v>
      </c>
      <c r="F162" s="14">
        <v>602</v>
      </c>
      <c r="G162" s="15">
        <v>44.96</v>
      </c>
      <c r="H162" s="16">
        <v>6.0935976995141493E-2</v>
      </c>
      <c r="I162" s="16">
        <v>6.5828679067964455E-2</v>
      </c>
      <c r="J162" s="15">
        <v>24.79</v>
      </c>
      <c r="K162" s="14">
        <v>465</v>
      </c>
      <c r="L162" s="14">
        <v>144</v>
      </c>
      <c r="M162" s="15">
        <v>17.98</v>
      </c>
      <c r="N162" s="17">
        <v>27065.919999999998</v>
      </c>
      <c r="O162" s="17">
        <v>1649.2882784723399</v>
      </c>
      <c r="P162" s="17">
        <v>1673.1432925850891</v>
      </c>
      <c r="Q162" s="17">
        <v>23743.488428942572</v>
      </c>
      <c r="R162" s="17">
        <v>14923.58</v>
      </c>
      <c r="S162" s="17">
        <v>8819.9084289425718</v>
      </c>
      <c r="T162" s="17">
        <v>2589.12</v>
      </c>
    </row>
    <row r="163" spans="1:20" x14ac:dyDescent="0.3">
      <c r="A163" s="13">
        <v>45138</v>
      </c>
      <c r="B163" s="7" t="s">
        <v>108</v>
      </c>
      <c r="C163" s="7" t="s">
        <v>27</v>
      </c>
      <c r="D163" s="7" t="s">
        <v>104</v>
      </c>
      <c r="E163" s="7" t="s">
        <v>30</v>
      </c>
      <c r="F163" s="14">
        <v>712</v>
      </c>
      <c r="G163" s="15">
        <v>41.26</v>
      </c>
      <c r="H163" s="16">
        <v>3.8258352734868092E-2</v>
      </c>
      <c r="I163" s="16">
        <v>2.1336961570359511E-2</v>
      </c>
      <c r="J163" s="15">
        <v>23.29</v>
      </c>
      <c r="K163" s="14">
        <v>60</v>
      </c>
      <c r="L163" s="14">
        <v>4</v>
      </c>
      <c r="M163" s="15">
        <v>4.4000000000000004</v>
      </c>
      <c r="N163" s="17">
        <v>29377.119999999999</v>
      </c>
      <c r="O163" s="17">
        <v>1123.9202192945479</v>
      </c>
      <c r="P163" s="17">
        <v>602.83743796060207</v>
      </c>
      <c r="Q163" s="17">
        <v>27650.362342744851</v>
      </c>
      <c r="R163" s="17">
        <v>16582.48</v>
      </c>
      <c r="S163" s="17">
        <v>11067.88234274485</v>
      </c>
      <c r="T163" s="17">
        <v>17.600000000000001</v>
      </c>
    </row>
    <row r="164" spans="1:20" x14ac:dyDescent="0.3">
      <c r="A164" s="13">
        <v>45138</v>
      </c>
      <c r="B164" s="7" t="s">
        <v>108</v>
      </c>
      <c r="C164" s="7" t="s">
        <v>29</v>
      </c>
      <c r="D164" s="7" t="s">
        <v>102</v>
      </c>
      <c r="E164" s="7" t="s">
        <v>25</v>
      </c>
      <c r="F164" s="14">
        <v>4348</v>
      </c>
      <c r="G164" s="15">
        <v>116.92</v>
      </c>
      <c r="H164" s="16">
        <v>5.1913788163880661E-2</v>
      </c>
      <c r="I164" s="16">
        <v>4.0281811573691283E-2</v>
      </c>
      <c r="J164" s="15">
        <v>69.13</v>
      </c>
      <c r="K164" s="14">
        <v>2978</v>
      </c>
      <c r="L164" s="14">
        <v>1080</v>
      </c>
      <c r="M164" s="15">
        <v>38.25</v>
      </c>
      <c r="N164" s="17">
        <v>508368.16</v>
      </c>
      <c r="O164" s="17">
        <v>26391.316967501789</v>
      </c>
      <c r="P164" s="17">
        <v>19414.900373917681</v>
      </c>
      <c r="Q164" s="17">
        <v>462561.94265858061</v>
      </c>
      <c r="R164" s="17">
        <v>300577.24</v>
      </c>
      <c r="S164" s="17">
        <v>161984.70265858059</v>
      </c>
      <c r="T164" s="17">
        <v>41310</v>
      </c>
    </row>
    <row r="165" spans="1:20" x14ac:dyDescent="0.3">
      <c r="A165" s="13">
        <v>45138</v>
      </c>
      <c r="B165" s="7" t="s">
        <v>108</v>
      </c>
      <c r="C165" s="7" t="s">
        <v>29</v>
      </c>
      <c r="D165" s="7" t="s">
        <v>102</v>
      </c>
      <c r="E165" s="7" t="s">
        <v>28</v>
      </c>
      <c r="F165" s="14">
        <v>1801</v>
      </c>
      <c r="G165" s="15">
        <v>112.22</v>
      </c>
      <c r="H165" s="16">
        <v>9.753043913575013E-2</v>
      </c>
      <c r="I165" s="16">
        <v>6.0155289297650703E-2</v>
      </c>
      <c r="J165" s="15">
        <v>66.430000000000007</v>
      </c>
      <c r="K165" s="14">
        <v>1499</v>
      </c>
      <c r="L165" s="14">
        <v>472</v>
      </c>
      <c r="M165" s="15">
        <v>14.55</v>
      </c>
      <c r="N165" s="17">
        <v>202108.22</v>
      </c>
      <c r="O165" s="17">
        <v>19711.703449544799</v>
      </c>
      <c r="P165" s="17">
        <v>10972.115219976369</v>
      </c>
      <c r="Q165" s="17">
        <v>171424.40133047881</v>
      </c>
      <c r="R165" s="17">
        <v>119640.43</v>
      </c>
      <c r="S165" s="17">
        <v>51783.971330478831</v>
      </c>
      <c r="T165" s="17">
        <v>6867.6</v>
      </c>
    </row>
    <row r="166" spans="1:20" x14ac:dyDescent="0.3">
      <c r="A166" s="13">
        <v>45138</v>
      </c>
      <c r="B166" s="7" t="s">
        <v>108</v>
      </c>
      <c r="C166" s="7" t="s">
        <v>29</v>
      </c>
      <c r="D166" s="7" t="s">
        <v>102</v>
      </c>
      <c r="E166" s="7" t="s">
        <v>30</v>
      </c>
      <c r="F166" s="14">
        <v>1252</v>
      </c>
      <c r="G166" s="15">
        <v>94.74</v>
      </c>
      <c r="H166" s="16">
        <v>4.317815652614039E-2</v>
      </c>
      <c r="I166" s="16">
        <v>1.964750610970455E-2</v>
      </c>
      <c r="J166" s="15">
        <v>70.16</v>
      </c>
      <c r="K166" s="14">
        <v>102</v>
      </c>
      <c r="L166" s="14">
        <v>6</v>
      </c>
      <c r="M166" s="15">
        <v>5.0599999999999996</v>
      </c>
      <c r="N166" s="17">
        <v>118614.48</v>
      </c>
      <c r="O166" s="17">
        <v>5121.5545837067484</v>
      </c>
      <c r="P166" s="17">
        <v>2229.852945524864</v>
      </c>
      <c r="Q166" s="17">
        <v>111263.0724707684</v>
      </c>
      <c r="R166" s="17">
        <v>87840.319999999992</v>
      </c>
      <c r="S166" s="17">
        <v>23422.752470768392</v>
      </c>
      <c r="T166" s="17">
        <v>30.36</v>
      </c>
    </row>
    <row r="167" spans="1:20" x14ac:dyDescent="0.3">
      <c r="A167" s="13">
        <v>45138</v>
      </c>
      <c r="B167" s="7" t="s">
        <v>108</v>
      </c>
      <c r="C167" s="7" t="s">
        <v>29</v>
      </c>
      <c r="D167" s="7" t="s">
        <v>103</v>
      </c>
      <c r="E167" s="7" t="s">
        <v>25</v>
      </c>
      <c r="F167" s="14">
        <v>1158</v>
      </c>
      <c r="G167" s="15">
        <v>205.12</v>
      </c>
      <c r="H167" s="16">
        <v>6.5399358569965829E-2</v>
      </c>
      <c r="I167" s="16">
        <v>5.5307508323436977E-2</v>
      </c>
      <c r="J167" s="15">
        <v>122.88</v>
      </c>
      <c r="K167" s="14">
        <v>769</v>
      </c>
      <c r="L167" s="14">
        <v>290</v>
      </c>
      <c r="M167" s="15">
        <v>30.77</v>
      </c>
      <c r="N167" s="17">
        <v>237528.95999999999</v>
      </c>
      <c r="O167" s="17">
        <v>15534.24162579107</v>
      </c>
      <c r="P167" s="17">
        <v>12277.97473424061</v>
      </c>
      <c r="Q167" s="17">
        <v>209716.74363996831</v>
      </c>
      <c r="R167" s="17">
        <v>142295.04000000001</v>
      </c>
      <c r="S167" s="17">
        <v>67421.703639968298</v>
      </c>
      <c r="T167" s="17">
        <v>8923.2999999999993</v>
      </c>
    </row>
    <row r="168" spans="1:20" x14ac:dyDescent="0.3">
      <c r="A168" s="13">
        <v>45138</v>
      </c>
      <c r="B168" s="7" t="s">
        <v>108</v>
      </c>
      <c r="C168" s="7" t="s">
        <v>29</v>
      </c>
      <c r="D168" s="7" t="s">
        <v>103</v>
      </c>
      <c r="E168" s="7" t="s">
        <v>28</v>
      </c>
      <c r="F168" s="14">
        <v>983</v>
      </c>
      <c r="G168" s="15">
        <v>195.78</v>
      </c>
      <c r="H168" s="16">
        <v>8.5916659232410264E-2</v>
      </c>
      <c r="I168" s="16">
        <v>5.4177347721881569E-2</v>
      </c>
      <c r="J168" s="15">
        <v>119.15</v>
      </c>
      <c r="K168" s="14">
        <v>824</v>
      </c>
      <c r="L168" s="14">
        <v>242</v>
      </c>
      <c r="M168" s="15">
        <v>18.52</v>
      </c>
      <c r="N168" s="17">
        <v>192451.74</v>
      </c>
      <c r="O168" s="17">
        <v>16534.810564264419</v>
      </c>
      <c r="P168" s="17">
        <v>9530.7126562055491</v>
      </c>
      <c r="Q168" s="17">
        <v>166386.21677952999</v>
      </c>
      <c r="R168" s="17">
        <v>117124.45</v>
      </c>
      <c r="S168" s="17">
        <v>49261.766779530008</v>
      </c>
      <c r="T168" s="17">
        <v>4481.84</v>
      </c>
    </row>
    <row r="169" spans="1:20" x14ac:dyDescent="0.3">
      <c r="A169" s="13">
        <v>45138</v>
      </c>
      <c r="B169" s="7" t="s">
        <v>108</v>
      </c>
      <c r="C169" s="7" t="s">
        <v>29</v>
      </c>
      <c r="D169" s="7" t="s">
        <v>103</v>
      </c>
      <c r="E169" s="7" t="s">
        <v>30</v>
      </c>
      <c r="F169" s="14">
        <v>601</v>
      </c>
      <c r="G169" s="15">
        <v>177.56</v>
      </c>
      <c r="H169" s="16">
        <v>3.1090612189300579E-2</v>
      </c>
      <c r="I169" s="16">
        <v>7.2303943254902261E-3</v>
      </c>
      <c r="J169" s="15">
        <v>121.87</v>
      </c>
      <c r="K169" s="14">
        <v>51</v>
      </c>
      <c r="L169" s="14">
        <v>3</v>
      </c>
      <c r="M169" s="15">
        <v>3.77</v>
      </c>
      <c r="N169" s="17">
        <v>106713.56</v>
      </c>
      <c r="O169" s="17">
        <v>3317.789909299659</v>
      </c>
      <c r="P169" s="17">
        <v>747.59218934349178</v>
      </c>
      <c r="Q169" s="17">
        <v>102648.1779013569</v>
      </c>
      <c r="R169" s="17">
        <v>73243.87000000001</v>
      </c>
      <c r="S169" s="17">
        <v>29404.307901356849</v>
      </c>
      <c r="T169" s="17">
        <v>11.31</v>
      </c>
    </row>
    <row r="170" spans="1:20" x14ac:dyDescent="0.3">
      <c r="A170" s="13">
        <v>45138</v>
      </c>
      <c r="B170" s="7" t="s">
        <v>108</v>
      </c>
      <c r="C170" s="7" t="s">
        <v>29</v>
      </c>
      <c r="D170" s="7" t="s">
        <v>104</v>
      </c>
      <c r="E170" s="7" t="s">
        <v>25</v>
      </c>
      <c r="F170" s="14">
        <v>1270</v>
      </c>
      <c r="G170" s="15">
        <v>43.85</v>
      </c>
      <c r="H170" s="16">
        <v>6.6832396442723818E-2</v>
      </c>
      <c r="I170" s="16">
        <v>3.4234895992732807E-2</v>
      </c>
      <c r="J170" s="15">
        <v>20.04</v>
      </c>
      <c r="K170" s="14">
        <v>835</v>
      </c>
      <c r="L170" s="14">
        <v>283</v>
      </c>
      <c r="M170" s="15">
        <v>28.85</v>
      </c>
      <c r="N170" s="17">
        <v>55689.5</v>
      </c>
      <c r="O170" s="17">
        <v>3721.862741697068</v>
      </c>
      <c r="P170" s="17">
        <v>1779.1066565260669</v>
      </c>
      <c r="Q170" s="17">
        <v>50188.53060177686</v>
      </c>
      <c r="R170" s="17">
        <v>25450.799999999999</v>
      </c>
      <c r="S170" s="17">
        <v>24737.730601776861</v>
      </c>
      <c r="T170" s="17">
        <v>8164.55</v>
      </c>
    </row>
    <row r="171" spans="1:20" x14ac:dyDescent="0.3">
      <c r="A171" s="13">
        <v>45138</v>
      </c>
      <c r="B171" s="7" t="s">
        <v>108</v>
      </c>
      <c r="C171" s="7" t="s">
        <v>29</v>
      </c>
      <c r="D171" s="7" t="s">
        <v>104</v>
      </c>
      <c r="E171" s="7" t="s">
        <v>28</v>
      </c>
      <c r="F171" s="14">
        <v>645</v>
      </c>
      <c r="G171" s="15">
        <v>40.65</v>
      </c>
      <c r="H171" s="16">
        <v>9.7820435244614701E-2</v>
      </c>
      <c r="I171" s="16">
        <v>6.17937055262123E-2</v>
      </c>
      <c r="J171" s="15">
        <v>21.1</v>
      </c>
      <c r="K171" s="14">
        <v>506</v>
      </c>
      <c r="L171" s="14">
        <v>153</v>
      </c>
      <c r="M171" s="15">
        <v>21.88</v>
      </c>
      <c r="N171" s="17">
        <v>26219.25</v>
      </c>
      <c r="O171" s="17">
        <v>2564.7784467873639</v>
      </c>
      <c r="P171" s="17">
        <v>1461.697449537387</v>
      </c>
      <c r="Q171" s="17">
        <v>22192.774103675249</v>
      </c>
      <c r="R171" s="17">
        <v>13609.5</v>
      </c>
      <c r="S171" s="17">
        <v>8583.2741036752468</v>
      </c>
      <c r="T171" s="17">
        <v>3347.64</v>
      </c>
    </row>
    <row r="172" spans="1:20" x14ac:dyDescent="0.3">
      <c r="A172" s="13">
        <v>45138</v>
      </c>
      <c r="B172" s="7" t="s">
        <v>108</v>
      </c>
      <c r="C172" s="7" t="s">
        <v>29</v>
      </c>
      <c r="D172" s="7" t="s">
        <v>104</v>
      </c>
      <c r="E172" s="7" t="s">
        <v>30</v>
      </c>
      <c r="F172" s="14">
        <v>467</v>
      </c>
      <c r="G172" s="15">
        <v>35.08</v>
      </c>
      <c r="H172" s="16">
        <v>3.4691183715838597E-2</v>
      </c>
      <c r="I172" s="16">
        <v>1.913526970038288E-2</v>
      </c>
      <c r="J172" s="15">
        <v>22.85</v>
      </c>
      <c r="K172" s="14">
        <v>39</v>
      </c>
      <c r="L172" s="14">
        <v>2</v>
      </c>
      <c r="M172" s="15">
        <v>3.77</v>
      </c>
      <c r="N172" s="17">
        <v>16382.36</v>
      </c>
      <c r="O172" s="17">
        <v>568.32346045900556</v>
      </c>
      <c r="P172" s="17">
        <v>302.60585423582648</v>
      </c>
      <c r="Q172" s="17">
        <v>15511.430685305169</v>
      </c>
      <c r="R172" s="17">
        <v>10670.95</v>
      </c>
      <c r="S172" s="17">
        <v>4840.4806853051668</v>
      </c>
      <c r="T172" s="17">
        <v>7.54</v>
      </c>
    </row>
    <row r="173" spans="1:20" x14ac:dyDescent="0.3">
      <c r="A173" s="13">
        <v>45138</v>
      </c>
      <c r="B173" s="7" t="s">
        <v>108</v>
      </c>
      <c r="C173" s="7" t="s">
        <v>31</v>
      </c>
      <c r="D173" s="7" t="s">
        <v>102</v>
      </c>
      <c r="E173" s="7" t="s">
        <v>25</v>
      </c>
      <c r="F173" s="14">
        <v>1236</v>
      </c>
      <c r="G173" s="15">
        <v>105.09</v>
      </c>
      <c r="H173" s="16">
        <v>6.9359142186564679E-2</v>
      </c>
      <c r="I173" s="16">
        <v>3.3943844602631362E-2</v>
      </c>
      <c r="J173" s="15">
        <v>70.709999999999994</v>
      </c>
      <c r="K173" s="14">
        <v>903</v>
      </c>
      <c r="L173" s="14">
        <v>339</v>
      </c>
      <c r="M173" s="15">
        <v>35.9</v>
      </c>
      <c r="N173" s="17">
        <v>129891.24</v>
      </c>
      <c r="O173" s="17">
        <v>9009.1449839491979</v>
      </c>
      <c r="P173" s="17">
        <v>4103.2030484653469</v>
      </c>
      <c r="Q173" s="17">
        <v>116778.8919675855</v>
      </c>
      <c r="R173" s="17">
        <v>87397.56</v>
      </c>
      <c r="S173" s="17">
        <v>29381.331967585458</v>
      </c>
      <c r="T173" s="17">
        <v>12170.1</v>
      </c>
    </row>
    <row r="174" spans="1:20" x14ac:dyDescent="0.3">
      <c r="A174" s="13">
        <v>45138</v>
      </c>
      <c r="B174" s="7" t="s">
        <v>108</v>
      </c>
      <c r="C174" s="7" t="s">
        <v>31</v>
      </c>
      <c r="D174" s="7" t="s">
        <v>102</v>
      </c>
      <c r="E174" s="7" t="s">
        <v>28</v>
      </c>
      <c r="F174" s="14">
        <v>688</v>
      </c>
      <c r="G174" s="15">
        <v>102.32</v>
      </c>
      <c r="H174" s="16">
        <v>9.4040449835487649E-2</v>
      </c>
      <c r="I174" s="16">
        <v>7.9526119340981971E-2</v>
      </c>
      <c r="J174" s="15">
        <v>70.17</v>
      </c>
      <c r="K174" s="14">
        <v>623</v>
      </c>
      <c r="L174" s="14">
        <v>180</v>
      </c>
      <c r="M174" s="15">
        <v>18.100000000000001</v>
      </c>
      <c r="N174" s="17">
        <v>70396.159999999989</v>
      </c>
      <c r="O174" s="17">
        <v>6620.0865530909614</v>
      </c>
      <c r="P174" s="17">
        <v>5071.8636280381188</v>
      </c>
      <c r="Q174" s="17">
        <v>58704.209818870913</v>
      </c>
      <c r="R174" s="17">
        <v>48276.959999999999</v>
      </c>
      <c r="S174" s="17">
        <v>10427.249818870911</v>
      </c>
      <c r="T174" s="17">
        <v>3258</v>
      </c>
    </row>
    <row r="175" spans="1:20" x14ac:dyDescent="0.3">
      <c r="A175" s="13">
        <v>45138</v>
      </c>
      <c r="B175" s="7" t="s">
        <v>108</v>
      </c>
      <c r="C175" s="7" t="s">
        <v>31</v>
      </c>
      <c r="D175" s="7" t="s">
        <v>102</v>
      </c>
      <c r="E175" s="7" t="s">
        <v>30</v>
      </c>
      <c r="F175" s="14">
        <v>525</v>
      </c>
      <c r="G175" s="15">
        <v>92.05</v>
      </c>
      <c r="H175" s="16">
        <v>4.0819211986496427E-2</v>
      </c>
      <c r="I175" s="16">
        <v>1.817339224343946E-2</v>
      </c>
      <c r="J175" s="15">
        <v>67.400000000000006</v>
      </c>
      <c r="K175" s="14">
        <v>45</v>
      </c>
      <c r="L175" s="14">
        <v>3</v>
      </c>
      <c r="M175" s="15">
        <v>3.79</v>
      </c>
      <c r="N175" s="17">
        <v>48326.25</v>
      </c>
      <c r="O175" s="17">
        <v>1972.6394432624229</v>
      </c>
      <c r="P175" s="17">
        <v>842.40234654722803</v>
      </c>
      <c r="Q175" s="17">
        <v>45511.208210190351</v>
      </c>
      <c r="R175" s="17">
        <v>35385</v>
      </c>
      <c r="S175" s="17">
        <v>10126.208210190351</v>
      </c>
      <c r="T175" s="17">
        <v>11.37</v>
      </c>
    </row>
    <row r="176" spans="1:20" x14ac:dyDescent="0.3">
      <c r="A176" s="13">
        <v>45138</v>
      </c>
      <c r="B176" s="7" t="s">
        <v>108</v>
      </c>
      <c r="C176" s="7" t="s">
        <v>31</v>
      </c>
      <c r="D176" s="7" t="s">
        <v>103</v>
      </c>
      <c r="E176" s="7" t="s">
        <v>25</v>
      </c>
      <c r="F176" s="14">
        <v>631</v>
      </c>
      <c r="G176" s="15">
        <v>190.81</v>
      </c>
      <c r="H176" s="16">
        <v>6.4829874772745585E-2</v>
      </c>
      <c r="I176" s="16">
        <v>5.1857041546629963E-2</v>
      </c>
      <c r="J176" s="15">
        <v>117.39</v>
      </c>
      <c r="K176" s="14">
        <v>456</v>
      </c>
      <c r="L176" s="14">
        <v>166</v>
      </c>
      <c r="M176" s="15">
        <v>37.74</v>
      </c>
      <c r="N176" s="17">
        <v>120401.11</v>
      </c>
      <c r="O176" s="17">
        <v>7805.5888837995662</v>
      </c>
      <c r="P176" s="17">
        <v>5838.8706164872556</v>
      </c>
      <c r="Q176" s="17">
        <v>106756.6504997132</v>
      </c>
      <c r="R176" s="17">
        <v>74073.09</v>
      </c>
      <c r="S176" s="17">
        <v>32683.56049971317</v>
      </c>
      <c r="T176" s="17">
        <v>6264.84</v>
      </c>
    </row>
    <row r="177" spans="1:20" x14ac:dyDescent="0.3">
      <c r="A177" s="13">
        <v>45138</v>
      </c>
      <c r="B177" s="7" t="s">
        <v>108</v>
      </c>
      <c r="C177" s="7" t="s">
        <v>31</v>
      </c>
      <c r="D177" s="7" t="s">
        <v>103</v>
      </c>
      <c r="E177" s="7" t="s">
        <v>28</v>
      </c>
      <c r="F177" s="14">
        <v>298</v>
      </c>
      <c r="G177" s="15">
        <v>182.69</v>
      </c>
      <c r="H177" s="16">
        <v>8.661375427785685E-2</v>
      </c>
      <c r="I177" s="16">
        <v>7.9922912127735862E-2</v>
      </c>
      <c r="J177" s="15">
        <v>116.83</v>
      </c>
      <c r="K177" s="14">
        <v>234</v>
      </c>
      <c r="L177" s="14">
        <v>77</v>
      </c>
      <c r="M177" s="15">
        <v>19.48</v>
      </c>
      <c r="N177" s="17">
        <v>54441.62</v>
      </c>
      <c r="O177" s="17">
        <v>4715.3930971684576</v>
      </c>
      <c r="P177" s="17">
        <v>3974.26486319886</v>
      </c>
      <c r="Q177" s="17">
        <v>45751.962039632679</v>
      </c>
      <c r="R177" s="17">
        <v>34815.339999999997</v>
      </c>
      <c r="S177" s="17">
        <v>10936.622039632681</v>
      </c>
      <c r="T177" s="17">
        <v>1499.96</v>
      </c>
    </row>
    <row r="178" spans="1:20" x14ac:dyDescent="0.3">
      <c r="A178" s="13">
        <v>45138</v>
      </c>
      <c r="B178" s="7" t="s">
        <v>108</v>
      </c>
      <c r="C178" s="7" t="s">
        <v>31</v>
      </c>
      <c r="D178" s="7" t="s">
        <v>103</v>
      </c>
      <c r="E178" s="7" t="s">
        <v>30</v>
      </c>
      <c r="F178" s="14">
        <v>403</v>
      </c>
      <c r="G178" s="15">
        <v>160.88999999999999</v>
      </c>
      <c r="H178" s="16">
        <v>4.1611553673179542E-2</v>
      </c>
      <c r="I178" s="16">
        <v>2.764234213206266E-2</v>
      </c>
      <c r="J178" s="15">
        <v>116.67</v>
      </c>
      <c r="K178" s="14">
        <v>33</v>
      </c>
      <c r="L178" s="14">
        <v>2</v>
      </c>
      <c r="M178" s="15">
        <v>5.48</v>
      </c>
      <c r="N178" s="17">
        <v>64838.669999999991</v>
      </c>
      <c r="O178" s="17">
        <v>2698.037796802575</v>
      </c>
      <c r="P178" s="17">
        <v>1717.712615663454</v>
      </c>
      <c r="Q178" s="17">
        <v>60422.919587533957</v>
      </c>
      <c r="R178" s="17">
        <v>47018.01</v>
      </c>
      <c r="S178" s="17">
        <v>13404.909587533961</v>
      </c>
      <c r="T178" s="17">
        <v>10.96</v>
      </c>
    </row>
    <row r="179" spans="1:20" x14ac:dyDescent="0.3">
      <c r="A179" s="13">
        <v>45138</v>
      </c>
      <c r="B179" s="7" t="s">
        <v>108</v>
      </c>
      <c r="C179" s="7" t="s">
        <v>31</v>
      </c>
      <c r="D179" s="7" t="s">
        <v>104</v>
      </c>
      <c r="E179" s="7" t="s">
        <v>25</v>
      </c>
      <c r="F179" s="14">
        <v>729</v>
      </c>
      <c r="G179" s="15">
        <v>39.03</v>
      </c>
      <c r="H179" s="16">
        <v>4.2302790695615981E-2</v>
      </c>
      <c r="I179" s="16">
        <v>6.0562071299403233E-2</v>
      </c>
      <c r="J179" s="15">
        <v>20.37</v>
      </c>
      <c r="K179" s="14">
        <v>495</v>
      </c>
      <c r="L179" s="14">
        <v>179</v>
      </c>
      <c r="M179" s="15">
        <v>30.73</v>
      </c>
      <c r="N179" s="17">
        <v>28452.87</v>
      </c>
      <c r="O179" s="17">
        <v>1203.635804299571</v>
      </c>
      <c r="P179" s="17">
        <v>1650.270064214146</v>
      </c>
      <c r="Q179" s="17">
        <v>25598.964131486289</v>
      </c>
      <c r="R179" s="17">
        <v>14849.73</v>
      </c>
      <c r="S179" s="17">
        <v>10749.234131486281</v>
      </c>
      <c r="T179" s="17">
        <v>5500.67</v>
      </c>
    </row>
    <row r="180" spans="1:20" x14ac:dyDescent="0.3">
      <c r="A180" s="13">
        <v>45138</v>
      </c>
      <c r="B180" s="7" t="s">
        <v>108</v>
      </c>
      <c r="C180" s="7" t="s">
        <v>31</v>
      </c>
      <c r="D180" s="7" t="s">
        <v>104</v>
      </c>
      <c r="E180" s="7" t="s">
        <v>28</v>
      </c>
      <c r="F180" s="14">
        <v>260</v>
      </c>
      <c r="G180" s="15">
        <v>38.479999999999997</v>
      </c>
      <c r="H180" s="16">
        <v>8.2128454579319332E-2</v>
      </c>
      <c r="I180" s="16">
        <v>5.7493174293203823E-2</v>
      </c>
      <c r="J180" s="15">
        <v>21.25</v>
      </c>
      <c r="K180" s="14">
        <v>219</v>
      </c>
      <c r="L180" s="14">
        <v>69</v>
      </c>
      <c r="M180" s="15">
        <v>17.190000000000001</v>
      </c>
      <c r="N180" s="17">
        <v>10004.799999999999</v>
      </c>
      <c r="O180" s="17">
        <v>821.67876237517396</v>
      </c>
      <c r="P180" s="17">
        <v>527.9667898703857</v>
      </c>
      <c r="Q180" s="17">
        <v>8655.1544477544394</v>
      </c>
      <c r="R180" s="17">
        <v>5525</v>
      </c>
      <c r="S180" s="17">
        <v>3130.1544477544389</v>
      </c>
      <c r="T180" s="17">
        <v>1186.1099999999999</v>
      </c>
    </row>
    <row r="181" spans="1:20" x14ac:dyDescent="0.3">
      <c r="A181" s="13">
        <v>45138</v>
      </c>
      <c r="B181" s="7" t="s">
        <v>108</v>
      </c>
      <c r="C181" s="7" t="s">
        <v>31</v>
      </c>
      <c r="D181" s="7" t="s">
        <v>104</v>
      </c>
      <c r="E181" s="7" t="s">
        <v>30</v>
      </c>
      <c r="F181" s="14">
        <v>292</v>
      </c>
      <c r="G181" s="15">
        <v>33.409999999999997</v>
      </c>
      <c r="H181" s="16">
        <v>4.7040843144911949E-2</v>
      </c>
      <c r="I181" s="16">
        <v>2.0905107793518531E-2</v>
      </c>
      <c r="J181" s="15">
        <v>20.25</v>
      </c>
      <c r="K181" s="14">
        <v>25</v>
      </c>
      <c r="L181" s="14">
        <v>2</v>
      </c>
      <c r="M181" s="15">
        <v>5.36</v>
      </c>
      <c r="N181" s="17">
        <v>9755.7199999999993</v>
      </c>
      <c r="O181" s="17">
        <v>458.91729428568038</v>
      </c>
      <c r="P181" s="17">
        <v>194.35066269803261</v>
      </c>
      <c r="Q181" s="17">
        <v>9102.4520430162866</v>
      </c>
      <c r="R181" s="17">
        <v>5913</v>
      </c>
      <c r="S181" s="17">
        <v>3189.452043016287</v>
      </c>
      <c r="T181" s="17">
        <v>10.72</v>
      </c>
    </row>
    <row r="182" spans="1:20" x14ac:dyDescent="0.3">
      <c r="A182" s="13">
        <v>45169</v>
      </c>
      <c r="B182" s="7" t="s">
        <v>109</v>
      </c>
      <c r="C182" s="7" t="s">
        <v>24</v>
      </c>
      <c r="D182" s="7" t="s">
        <v>102</v>
      </c>
      <c r="E182" s="7" t="s">
        <v>25</v>
      </c>
      <c r="F182" s="14">
        <v>6033</v>
      </c>
      <c r="G182" s="15">
        <v>121.88</v>
      </c>
      <c r="H182" s="16">
        <v>6.2779497113390675E-2</v>
      </c>
      <c r="I182" s="16">
        <v>5.702214944635238E-2</v>
      </c>
      <c r="J182" s="15">
        <v>71.209999999999994</v>
      </c>
      <c r="K182" s="14">
        <v>4258</v>
      </c>
      <c r="L182" s="14">
        <v>1738</v>
      </c>
      <c r="M182" s="15">
        <v>46.99</v>
      </c>
      <c r="N182" s="17">
        <v>735302.03999999992</v>
      </c>
      <c r="O182" s="17">
        <v>46161.892297650273</v>
      </c>
      <c r="P182" s="17">
        <v>39296.252491764739</v>
      </c>
      <c r="Q182" s="17">
        <v>649843.89521058497</v>
      </c>
      <c r="R182" s="17">
        <v>429609.92999999988</v>
      </c>
      <c r="S182" s="17">
        <v>220233.96521058501</v>
      </c>
      <c r="T182" s="17">
        <v>81668.62000000001</v>
      </c>
    </row>
    <row r="183" spans="1:20" x14ac:dyDescent="0.3">
      <c r="A183" s="13">
        <v>45169</v>
      </c>
      <c r="B183" s="7" t="s">
        <v>109</v>
      </c>
      <c r="C183" s="7" t="s">
        <v>24</v>
      </c>
      <c r="D183" s="7" t="s">
        <v>102</v>
      </c>
      <c r="E183" s="7" t="s">
        <v>28</v>
      </c>
      <c r="F183" s="14">
        <v>3339</v>
      </c>
      <c r="G183" s="15">
        <v>115.59</v>
      </c>
      <c r="H183" s="16">
        <v>0.10741166218011711</v>
      </c>
      <c r="I183" s="16">
        <v>7.0097720269049368E-2</v>
      </c>
      <c r="J183" s="15">
        <v>70.41</v>
      </c>
      <c r="K183" s="14">
        <v>2587</v>
      </c>
      <c r="L183" s="14">
        <v>811</v>
      </c>
      <c r="M183" s="15">
        <v>14.03</v>
      </c>
      <c r="N183" s="17">
        <v>385955.01</v>
      </c>
      <c r="O183" s="17">
        <v>41456.069150843701</v>
      </c>
      <c r="P183" s="17">
        <v>24148.590388627941</v>
      </c>
      <c r="Q183" s="17">
        <v>320350.35046052828</v>
      </c>
      <c r="R183" s="17">
        <v>235098.99</v>
      </c>
      <c r="S183" s="17">
        <v>85251.360460528347</v>
      </c>
      <c r="T183" s="17">
        <v>11378.33</v>
      </c>
    </row>
    <row r="184" spans="1:20" x14ac:dyDescent="0.3">
      <c r="A184" s="13">
        <v>45169</v>
      </c>
      <c r="B184" s="7" t="s">
        <v>109</v>
      </c>
      <c r="C184" s="7" t="s">
        <v>24</v>
      </c>
      <c r="D184" s="7" t="s">
        <v>102</v>
      </c>
      <c r="E184" s="7" t="s">
        <v>30</v>
      </c>
      <c r="F184" s="14">
        <v>2324</v>
      </c>
      <c r="G184" s="15">
        <v>101.35</v>
      </c>
      <c r="H184" s="16">
        <v>5.001942702610844E-2</v>
      </c>
      <c r="I184" s="16">
        <v>2.19733576491149E-2</v>
      </c>
      <c r="J184" s="15">
        <v>68.17</v>
      </c>
      <c r="K184" s="14">
        <v>187</v>
      </c>
      <c r="L184" s="14">
        <v>11</v>
      </c>
      <c r="M184" s="15">
        <v>5.4</v>
      </c>
      <c r="N184" s="17">
        <v>235537.4</v>
      </c>
      <c r="O184" s="17">
        <v>11781.44579121931</v>
      </c>
      <c r="P184" s="17">
        <v>4916.6696079485146</v>
      </c>
      <c r="Q184" s="17">
        <v>218839.28460083221</v>
      </c>
      <c r="R184" s="17">
        <v>158427.07999999999</v>
      </c>
      <c r="S184" s="17">
        <v>60412.204600832163</v>
      </c>
      <c r="T184" s="17">
        <v>59.400000000000013</v>
      </c>
    </row>
    <row r="185" spans="1:20" x14ac:dyDescent="0.3">
      <c r="A185" s="13">
        <v>45169</v>
      </c>
      <c r="B185" s="7" t="s">
        <v>109</v>
      </c>
      <c r="C185" s="7" t="s">
        <v>24</v>
      </c>
      <c r="D185" s="7" t="s">
        <v>103</v>
      </c>
      <c r="E185" s="7" t="s">
        <v>25</v>
      </c>
      <c r="F185" s="14">
        <v>3741</v>
      </c>
      <c r="G185" s="15">
        <v>223.4</v>
      </c>
      <c r="H185" s="16">
        <v>5.2935915182259839E-2</v>
      </c>
      <c r="I185" s="16">
        <v>4.6482804338438592E-2</v>
      </c>
      <c r="J185" s="15">
        <v>120.77</v>
      </c>
      <c r="K185" s="14">
        <v>2517</v>
      </c>
      <c r="L185" s="14">
        <v>949</v>
      </c>
      <c r="M185" s="15">
        <v>34.42</v>
      </c>
      <c r="N185" s="17">
        <v>835739.4</v>
      </c>
      <c r="O185" s="17">
        <v>44240.629992872731</v>
      </c>
      <c r="P185" s="17">
        <v>36791.082460356112</v>
      </c>
      <c r="Q185" s="17">
        <v>754707.68754677125</v>
      </c>
      <c r="R185" s="17">
        <v>451800.57</v>
      </c>
      <c r="S185" s="17">
        <v>302907.11754677119</v>
      </c>
      <c r="T185" s="17">
        <v>32664.58</v>
      </c>
    </row>
    <row r="186" spans="1:20" x14ac:dyDescent="0.3">
      <c r="A186" s="13">
        <v>45169</v>
      </c>
      <c r="B186" s="7" t="s">
        <v>109</v>
      </c>
      <c r="C186" s="7" t="s">
        <v>24</v>
      </c>
      <c r="D186" s="7" t="s">
        <v>103</v>
      </c>
      <c r="E186" s="7" t="s">
        <v>28</v>
      </c>
      <c r="F186" s="14">
        <v>1169</v>
      </c>
      <c r="G186" s="15">
        <v>207.96</v>
      </c>
      <c r="H186" s="16">
        <v>0.113314011991651</v>
      </c>
      <c r="I186" s="16">
        <v>5.4005457215780962E-2</v>
      </c>
      <c r="J186" s="15">
        <v>122.02</v>
      </c>
      <c r="K186" s="14">
        <v>957</v>
      </c>
      <c r="L186" s="14">
        <v>300</v>
      </c>
      <c r="M186" s="15">
        <v>21.02</v>
      </c>
      <c r="N186" s="17">
        <v>243105.24</v>
      </c>
      <c r="O186" s="17">
        <v>27547.230080593192</v>
      </c>
      <c r="P186" s="17">
        <v>11641.30888222141</v>
      </c>
      <c r="Q186" s="17">
        <v>203916.70103718541</v>
      </c>
      <c r="R186" s="17">
        <v>142641.38</v>
      </c>
      <c r="S186" s="17">
        <v>61275.321037185437</v>
      </c>
      <c r="T186" s="17">
        <v>6306</v>
      </c>
    </row>
    <row r="187" spans="1:20" x14ac:dyDescent="0.3">
      <c r="A187" s="13">
        <v>45169</v>
      </c>
      <c r="B187" s="7" t="s">
        <v>109</v>
      </c>
      <c r="C187" s="7" t="s">
        <v>24</v>
      </c>
      <c r="D187" s="7" t="s">
        <v>103</v>
      </c>
      <c r="E187" s="7" t="s">
        <v>30</v>
      </c>
      <c r="F187" s="14">
        <v>850</v>
      </c>
      <c r="G187" s="15">
        <v>188.9</v>
      </c>
      <c r="H187" s="16">
        <v>3.6688851124645323E-2</v>
      </c>
      <c r="I187" s="16">
        <v>3.2790996428341261E-2</v>
      </c>
      <c r="J187" s="15">
        <v>119.15</v>
      </c>
      <c r="K187" s="14">
        <v>66</v>
      </c>
      <c r="L187" s="14">
        <v>4</v>
      </c>
      <c r="M187" s="15">
        <v>5.17</v>
      </c>
      <c r="N187" s="17">
        <v>160565</v>
      </c>
      <c r="O187" s="17">
        <v>5890.9453808286753</v>
      </c>
      <c r="P187" s="17">
        <v>5071.9163725743083</v>
      </c>
      <c r="Q187" s="17">
        <v>149602.13824659699</v>
      </c>
      <c r="R187" s="17">
        <v>101277.5</v>
      </c>
      <c r="S187" s="17">
        <v>48324.638246597016</v>
      </c>
      <c r="T187" s="17">
        <v>20.68</v>
      </c>
    </row>
    <row r="188" spans="1:20" x14ac:dyDescent="0.3">
      <c r="A188" s="13">
        <v>45169</v>
      </c>
      <c r="B188" s="7" t="s">
        <v>109</v>
      </c>
      <c r="C188" s="7" t="s">
        <v>24</v>
      </c>
      <c r="D188" s="7" t="s">
        <v>104</v>
      </c>
      <c r="E188" s="7" t="s">
        <v>25</v>
      </c>
      <c r="F188" s="14">
        <v>3185</v>
      </c>
      <c r="G188" s="15">
        <v>47.06</v>
      </c>
      <c r="H188" s="16">
        <v>6.9216562732303158E-2</v>
      </c>
      <c r="I188" s="16">
        <v>4.5925269492011832E-2</v>
      </c>
      <c r="J188" s="15">
        <v>22.74</v>
      </c>
      <c r="K188" s="14">
        <v>2373</v>
      </c>
      <c r="L188" s="14">
        <v>1013</v>
      </c>
      <c r="M188" s="15">
        <v>28.83</v>
      </c>
      <c r="N188" s="17">
        <v>149886.1</v>
      </c>
      <c r="O188" s="17">
        <v>10374.600643350261</v>
      </c>
      <c r="P188" s="17">
        <v>6407.1032051887742</v>
      </c>
      <c r="Q188" s="17">
        <v>133104.39615146091</v>
      </c>
      <c r="R188" s="17">
        <v>72426.899999999994</v>
      </c>
      <c r="S188" s="17">
        <v>60677.496151460953</v>
      </c>
      <c r="T188" s="17">
        <v>29204.79</v>
      </c>
    </row>
    <row r="189" spans="1:20" x14ac:dyDescent="0.3">
      <c r="A189" s="13">
        <v>45169</v>
      </c>
      <c r="B189" s="7" t="s">
        <v>109</v>
      </c>
      <c r="C189" s="7" t="s">
        <v>24</v>
      </c>
      <c r="D189" s="7" t="s">
        <v>104</v>
      </c>
      <c r="E189" s="7" t="s">
        <v>28</v>
      </c>
      <c r="F189" s="14">
        <v>947</v>
      </c>
      <c r="G189" s="15">
        <v>42.45</v>
      </c>
      <c r="H189" s="16">
        <v>9.9401230540665644E-2</v>
      </c>
      <c r="I189" s="16">
        <v>7.4329578128557658E-2</v>
      </c>
      <c r="J189" s="15">
        <v>22.28</v>
      </c>
      <c r="K189" s="14">
        <v>789</v>
      </c>
      <c r="L189" s="14">
        <v>234</v>
      </c>
      <c r="M189" s="15">
        <v>22.79</v>
      </c>
      <c r="N189" s="17">
        <v>40200.15</v>
      </c>
      <c r="O189" s="17">
        <v>3995.9443779193398</v>
      </c>
      <c r="P189" s="17">
        <v>2691.043330368811</v>
      </c>
      <c r="Q189" s="17">
        <v>33513.162291711851</v>
      </c>
      <c r="R189" s="17">
        <v>21099.16</v>
      </c>
      <c r="S189" s="17">
        <v>12414.002291711849</v>
      </c>
      <c r="T189" s="17">
        <v>5332.86</v>
      </c>
    </row>
    <row r="190" spans="1:20" x14ac:dyDescent="0.3">
      <c r="A190" s="13">
        <v>45169</v>
      </c>
      <c r="B190" s="7" t="s">
        <v>109</v>
      </c>
      <c r="C190" s="7" t="s">
        <v>24</v>
      </c>
      <c r="D190" s="7" t="s">
        <v>104</v>
      </c>
      <c r="E190" s="7" t="s">
        <v>30</v>
      </c>
      <c r="F190" s="14">
        <v>714</v>
      </c>
      <c r="G190" s="15">
        <v>35.71</v>
      </c>
      <c r="H190" s="16">
        <v>3.9503915884943813E-2</v>
      </c>
      <c r="I190" s="16">
        <v>1.9391262458083581E-2</v>
      </c>
      <c r="J190" s="15">
        <v>23.23</v>
      </c>
      <c r="K190" s="14">
        <v>59</v>
      </c>
      <c r="L190" s="14">
        <v>3</v>
      </c>
      <c r="M190" s="15">
        <v>5.57</v>
      </c>
      <c r="N190" s="17">
        <v>25496.94</v>
      </c>
      <c r="O190" s="17">
        <v>1007.228973083459</v>
      </c>
      <c r="P190" s="17">
        <v>474.88641404556228</v>
      </c>
      <c r="Q190" s="17">
        <v>24014.82461287098</v>
      </c>
      <c r="R190" s="17">
        <v>16586.22</v>
      </c>
      <c r="S190" s="17">
        <v>7428.6046128709786</v>
      </c>
      <c r="T190" s="17">
        <v>16.71</v>
      </c>
    </row>
    <row r="191" spans="1:20" x14ac:dyDescent="0.3">
      <c r="A191" s="13">
        <v>45169</v>
      </c>
      <c r="B191" s="7" t="s">
        <v>109</v>
      </c>
      <c r="C191" s="7" t="s">
        <v>27</v>
      </c>
      <c r="D191" s="7" t="s">
        <v>102</v>
      </c>
      <c r="E191" s="7" t="s">
        <v>25</v>
      </c>
      <c r="F191" s="14">
        <v>3863</v>
      </c>
      <c r="G191" s="15">
        <v>133.47</v>
      </c>
      <c r="H191" s="16">
        <v>5.7961643110351513E-2</v>
      </c>
      <c r="I191" s="16">
        <v>3.0405607632765209E-2</v>
      </c>
      <c r="J191" s="15">
        <v>72.709999999999994</v>
      </c>
      <c r="K191" s="14">
        <v>2862</v>
      </c>
      <c r="L191" s="14">
        <v>1167</v>
      </c>
      <c r="M191" s="15">
        <v>38.270000000000003</v>
      </c>
      <c r="N191" s="17">
        <v>515594.61</v>
      </c>
      <c r="O191" s="17">
        <v>29884.710774440871</v>
      </c>
      <c r="P191" s="17">
        <v>14768.304619202279</v>
      </c>
      <c r="Q191" s="17">
        <v>470941.59460635681</v>
      </c>
      <c r="R191" s="17">
        <v>280878.73</v>
      </c>
      <c r="S191" s="17">
        <v>190062.8646063568</v>
      </c>
      <c r="T191" s="17">
        <v>44661.09</v>
      </c>
    </row>
    <row r="192" spans="1:20" x14ac:dyDescent="0.3">
      <c r="A192" s="13">
        <v>45169</v>
      </c>
      <c r="B192" s="7" t="s">
        <v>109</v>
      </c>
      <c r="C192" s="7" t="s">
        <v>27</v>
      </c>
      <c r="D192" s="7" t="s">
        <v>102</v>
      </c>
      <c r="E192" s="7" t="s">
        <v>28</v>
      </c>
      <c r="F192" s="14">
        <v>2964</v>
      </c>
      <c r="G192" s="15">
        <v>120.2</v>
      </c>
      <c r="H192" s="16">
        <v>9.190196433330125E-2</v>
      </c>
      <c r="I192" s="16">
        <v>3.3473409516557223E-2</v>
      </c>
      <c r="J192" s="15">
        <v>74.239999999999995</v>
      </c>
      <c r="K192" s="14">
        <v>2622</v>
      </c>
      <c r="L192" s="14">
        <v>764</v>
      </c>
      <c r="M192" s="15">
        <v>17.52</v>
      </c>
      <c r="N192" s="17">
        <v>356272.8</v>
      </c>
      <c r="O192" s="17">
        <v>32742.170158525369</v>
      </c>
      <c r="P192" s="17">
        <v>10829.673263833371</v>
      </c>
      <c r="Q192" s="17">
        <v>312700.95657764119</v>
      </c>
      <c r="R192" s="17">
        <v>220047.35999999999</v>
      </c>
      <c r="S192" s="17">
        <v>92653.596577641263</v>
      </c>
      <c r="T192" s="17">
        <v>13385.28</v>
      </c>
    </row>
    <row r="193" spans="1:20" x14ac:dyDescent="0.3">
      <c r="A193" s="13">
        <v>45169</v>
      </c>
      <c r="B193" s="7" t="s">
        <v>109</v>
      </c>
      <c r="C193" s="7" t="s">
        <v>27</v>
      </c>
      <c r="D193" s="7" t="s">
        <v>102</v>
      </c>
      <c r="E193" s="7" t="s">
        <v>30</v>
      </c>
      <c r="F193" s="14">
        <v>1553</v>
      </c>
      <c r="G193" s="15">
        <v>106.44</v>
      </c>
      <c r="H193" s="16">
        <v>3.2980498985738273E-2</v>
      </c>
      <c r="I193" s="16">
        <v>5.6386889335917536E-3</v>
      </c>
      <c r="J193" s="15">
        <v>73.47</v>
      </c>
      <c r="K193" s="14">
        <v>121</v>
      </c>
      <c r="L193" s="14">
        <v>7</v>
      </c>
      <c r="M193" s="15">
        <v>6.6</v>
      </c>
      <c r="N193" s="17">
        <v>165301.32</v>
      </c>
      <c r="O193" s="17">
        <v>5451.720016601198</v>
      </c>
      <c r="P193" s="17">
        <v>901.34217046545939</v>
      </c>
      <c r="Q193" s="17">
        <v>158948.25781293341</v>
      </c>
      <c r="R193" s="17">
        <v>114098.91</v>
      </c>
      <c r="S193" s="17">
        <v>44849.347812933353</v>
      </c>
      <c r="T193" s="17">
        <v>46.2</v>
      </c>
    </row>
    <row r="194" spans="1:20" x14ac:dyDescent="0.3">
      <c r="A194" s="13">
        <v>45169</v>
      </c>
      <c r="B194" s="7" t="s">
        <v>109</v>
      </c>
      <c r="C194" s="7" t="s">
        <v>27</v>
      </c>
      <c r="D194" s="7" t="s">
        <v>103</v>
      </c>
      <c r="E194" s="7" t="s">
        <v>25</v>
      </c>
      <c r="F194" s="14">
        <v>2847</v>
      </c>
      <c r="G194" s="15">
        <v>244.01</v>
      </c>
      <c r="H194" s="16">
        <v>5.101453104730537E-2</v>
      </c>
      <c r="I194" s="16">
        <v>4.3017918998194661E-2</v>
      </c>
      <c r="J194" s="15">
        <v>128.94999999999999</v>
      </c>
      <c r="K194" s="14">
        <v>1928</v>
      </c>
      <c r="L194" s="14">
        <v>706</v>
      </c>
      <c r="M194" s="15">
        <v>39.07</v>
      </c>
      <c r="N194" s="17">
        <v>694696.47</v>
      </c>
      <c r="O194" s="17">
        <v>35439.614637268452</v>
      </c>
      <c r="P194" s="17">
        <v>28359.858002998521</v>
      </c>
      <c r="Q194" s="17">
        <v>630896.99735973298</v>
      </c>
      <c r="R194" s="17">
        <v>367120.65</v>
      </c>
      <c r="S194" s="17">
        <v>263776.34735973302</v>
      </c>
      <c r="T194" s="17">
        <v>27583.42</v>
      </c>
    </row>
    <row r="195" spans="1:20" x14ac:dyDescent="0.3">
      <c r="A195" s="13">
        <v>45169</v>
      </c>
      <c r="B195" s="7" t="s">
        <v>109</v>
      </c>
      <c r="C195" s="7" t="s">
        <v>27</v>
      </c>
      <c r="D195" s="7" t="s">
        <v>103</v>
      </c>
      <c r="E195" s="7" t="s">
        <v>28</v>
      </c>
      <c r="F195" s="14">
        <v>943</v>
      </c>
      <c r="G195" s="15">
        <v>222.03</v>
      </c>
      <c r="H195" s="16">
        <v>8.6942534959329382E-2</v>
      </c>
      <c r="I195" s="16">
        <v>6.5510482602242667E-2</v>
      </c>
      <c r="J195" s="15">
        <v>129.51</v>
      </c>
      <c r="K195" s="14">
        <v>779</v>
      </c>
      <c r="L195" s="14">
        <v>221</v>
      </c>
      <c r="M195" s="15">
        <v>15.4</v>
      </c>
      <c r="N195" s="17">
        <v>209374.29</v>
      </c>
      <c r="O195" s="17">
        <v>18203.53152790977</v>
      </c>
      <c r="P195" s="17">
        <v>12523.688646943399</v>
      </c>
      <c r="Q195" s="17">
        <v>178647.06982514681</v>
      </c>
      <c r="R195" s="17">
        <v>122127.93</v>
      </c>
      <c r="S195" s="17">
        <v>56519.139825146849</v>
      </c>
      <c r="T195" s="17">
        <v>3403.4</v>
      </c>
    </row>
    <row r="196" spans="1:20" x14ac:dyDescent="0.3">
      <c r="A196" s="13">
        <v>45169</v>
      </c>
      <c r="B196" s="7" t="s">
        <v>109</v>
      </c>
      <c r="C196" s="7" t="s">
        <v>27</v>
      </c>
      <c r="D196" s="7" t="s">
        <v>103</v>
      </c>
      <c r="E196" s="7" t="s">
        <v>30</v>
      </c>
      <c r="F196" s="14">
        <v>1004</v>
      </c>
      <c r="G196" s="15">
        <v>194.08</v>
      </c>
      <c r="H196" s="16">
        <v>2.5454558438362349E-2</v>
      </c>
      <c r="I196" s="16">
        <v>2.4420226981805251E-2</v>
      </c>
      <c r="J196" s="15">
        <v>128.84</v>
      </c>
      <c r="K196" s="14">
        <v>83</v>
      </c>
      <c r="L196" s="14">
        <v>5</v>
      </c>
      <c r="M196" s="15">
        <v>4.75</v>
      </c>
      <c r="N196" s="17">
        <v>194856.32000000001</v>
      </c>
      <c r="O196" s="17">
        <v>4959.9815845242347</v>
      </c>
      <c r="P196" s="17">
        <v>4637.3116871196216</v>
      </c>
      <c r="Q196" s="17">
        <v>185259.02672835611</v>
      </c>
      <c r="R196" s="17">
        <v>129355.36</v>
      </c>
      <c r="S196" s="17">
        <v>55903.66672835614</v>
      </c>
      <c r="T196" s="17">
        <v>23.75</v>
      </c>
    </row>
    <row r="197" spans="1:20" x14ac:dyDescent="0.3">
      <c r="A197" s="13">
        <v>45169</v>
      </c>
      <c r="B197" s="7" t="s">
        <v>109</v>
      </c>
      <c r="C197" s="7" t="s">
        <v>27</v>
      </c>
      <c r="D197" s="7" t="s">
        <v>104</v>
      </c>
      <c r="E197" s="7" t="s">
        <v>25</v>
      </c>
      <c r="F197" s="14">
        <v>1710</v>
      </c>
      <c r="G197" s="15">
        <v>48.68</v>
      </c>
      <c r="H197" s="16">
        <v>6.7148382116596447E-2</v>
      </c>
      <c r="I197" s="16">
        <v>2.745710576830751E-2</v>
      </c>
      <c r="J197" s="15">
        <v>23.31</v>
      </c>
      <c r="K197" s="14">
        <v>1204</v>
      </c>
      <c r="L197" s="14">
        <v>415</v>
      </c>
      <c r="M197" s="15">
        <v>24.19</v>
      </c>
      <c r="N197" s="17">
        <v>83242.8</v>
      </c>
      <c r="O197" s="17">
        <v>5589.6193428554152</v>
      </c>
      <c r="P197" s="17">
        <v>2132.1315945487099</v>
      </c>
      <c r="Q197" s="17">
        <v>75521.049062595877</v>
      </c>
      <c r="R197" s="17">
        <v>39860.1</v>
      </c>
      <c r="S197" s="17">
        <v>35660.949062595879</v>
      </c>
      <c r="T197" s="17">
        <v>10038.85</v>
      </c>
    </row>
    <row r="198" spans="1:20" x14ac:dyDescent="0.3">
      <c r="A198" s="13">
        <v>45169</v>
      </c>
      <c r="B198" s="7" t="s">
        <v>109</v>
      </c>
      <c r="C198" s="7" t="s">
        <v>27</v>
      </c>
      <c r="D198" s="7" t="s">
        <v>104</v>
      </c>
      <c r="E198" s="7" t="s">
        <v>28</v>
      </c>
      <c r="F198" s="14">
        <v>835</v>
      </c>
      <c r="G198" s="15">
        <v>47.72</v>
      </c>
      <c r="H198" s="16">
        <v>8.0083013713226334E-2</v>
      </c>
      <c r="I198" s="16">
        <v>4.7846213444784277E-2</v>
      </c>
      <c r="J198" s="15">
        <v>23.25</v>
      </c>
      <c r="K198" s="14">
        <v>695</v>
      </c>
      <c r="L198" s="14">
        <v>188</v>
      </c>
      <c r="M198" s="15">
        <v>21.72</v>
      </c>
      <c r="N198" s="17">
        <v>39846.199999999997</v>
      </c>
      <c r="O198" s="17">
        <v>3191.0037810199592</v>
      </c>
      <c r="P198" s="17">
        <v>1753.8123421537689</v>
      </c>
      <c r="Q198" s="17">
        <v>34901.383876826272</v>
      </c>
      <c r="R198" s="17">
        <v>19413.75</v>
      </c>
      <c r="S198" s="17">
        <v>15487.63387682627</v>
      </c>
      <c r="T198" s="17">
        <v>4083.36</v>
      </c>
    </row>
    <row r="199" spans="1:20" x14ac:dyDescent="0.3">
      <c r="A199" s="13">
        <v>45169</v>
      </c>
      <c r="B199" s="7" t="s">
        <v>109</v>
      </c>
      <c r="C199" s="7" t="s">
        <v>27</v>
      </c>
      <c r="D199" s="7" t="s">
        <v>104</v>
      </c>
      <c r="E199" s="7" t="s">
        <v>30</v>
      </c>
      <c r="F199" s="14">
        <v>512</v>
      </c>
      <c r="G199" s="15">
        <v>41.15</v>
      </c>
      <c r="H199" s="16">
        <v>4.1058649331663352E-2</v>
      </c>
      <c r="I199" s="16">
        <v>1.8164860804583391E-2</v>
      </c>
      <c r="J199" s="15">
        <v>22.54</v>
      </c>
      <c r="K199" s="14">
        <v>43</v>
      </c>
      <c r="L199" s="14">
        <v>3</v>
      </c>
      <c r="M199" s="15">
        <v>5.08</v>
      </c>
      <c r="N199" s="17">
        <v>21068.799999999999</v>
      </c>
      <c r="O199" s="17">
        <v>865.05647103894876</v>
      </c>
      <c r="P199" s="17">
        <v>366.9981889350799</v>
      </c>
      <c r="Q199" s="17">
        <v>19836.745340025969</v>
      </c>
      <c r="R199" s="17">
        <v>11540.48</v>
      </c>
      <c r="S199" s="17">
        <v>8296.2653400259733</v>
      </c>
      <c r="T199" s="17">
        <v>15.24</v>
      </c>
    </row>
    <row r="200" spans="1:20" x14ac:dyDescent="0.3">
      <c r="A200" s="13">
        <v>45169</v>
      </c>
      <c r="B200" s="7" t="s">
        <v>109</v>
      </c>
      <c r="C200" s="7" t="s">
        <v>29</v>
      </c>
      <c r="D200" s="7" t="s">
        <v>102</v>
      </c>
      <c r="E200" s="7" t="s">
        <v>25</v>
      </c>
      <c r="F200" s="14">
        <v>3009</v>
      </c>
      <c r="G200" s="15">
        <v>118.34</v>
      </c>
      <c r="H200" s="16">
        <v>3.8733608080123459E-2</v>
      </c>
      <c r="I200" s="16">
        <v>2.9902692952900621E-2</v>
      </c>
      <c r="J200" s="15">
        <v>70.58</v>
      </c>
      <c r="K200" s="14">
        <v>1833</v>
      </c>
      <c r="L200" s="14">
        <v>715</v>
      </c>
      <c r="M200" s="15">
        <v>43.85</v>
      </c>
      <c r="N200" s="17">
        <v>356085.06</v>
      </c>
      <c r="O200" s="17">
        <v>13792.459157227249</v>
      </c>
      <c r="P200" s="17">
        <v>10235.470543051209</v>
      </c>
      <c r="Q200" s="17">
        <v>332057.13029972161</v>
      </c>
      <c r="R200" s="17">
        <v>212375.22</v>
      </c>
      <c r="S200" s="17">
        <v>119681.9102997216</v>
      </c>
      <c r="T200" s="17">
        <v>31352.75</v>
      </c>
    </row>
    <row r="201" spans="1:20" x14ac:dyDescent="0.3">
      <c r="A201" s="13">
        <v>45169</v>
      </c>
      <c r="B201" s="7" t="s">
        <v>109</v>
      </c>
      <c r="C201" s="7" t="s">
        <v>29</v>
      </c>
      <c r="D201" s="7" t="s">
        <v>102</v>
      </c>
      <c r="E201" s="7" t="s">
        <v>28</v>
      </c>
      <c r="F201" s="14">
        <v>1665</v>
      </c>
      <c r="G201" s="15">
        <v>112.52</v>
      </c>
      <c r="H201" s="16">
        <v>8.1279483581818773E-2</v>
      </c>
      <c r="I201" s="16">
        <v>4.8012119900246203E-2</v>
      </c>
      <c r="J201" s="15">
        <v>68.290000000000006</v>
      </c>
      <c r="K201" s="14">
        <v>1347</v>
      </c>
      <c r="L201" s="14">
        <v>400</v>
      </c>
      <c r="M201" s="15">
        <v>14.91</v>
      </c>
      <c r="N201" s="17">
        <v>187345.8</v>
      </c>
      <c r="O201" s="17">
        <v>15227.369875222699</v>
      </c>
      <c r="P201" s="17">
        <v>8263.7707041929534</v>
      </c>
      <c r="Q201" s="17">
        <v>163854.6594205843</v>
      </c>
      <c r="R201" s="17">
        <v>113702.85</v>
      </c>
      <c r="S201" s="17">
        <v>50151.809420584323</v>
      </c>
      <c r="T201" s="17">
        <v>5964</v>
      </c>
    </row>
    <row r="202" spans="1:20" x14ac:dyDescent="0.3">
      <c r="A202" s="13">
        <v>45169</v>
      </c>
      <c r="B202" s="7" t="s">
        <v>109</v>
      </c>
      <c r="C202" s="7" t="s">
        <v>29</v>
      </c>
      <c r="D202" s="7" t="s">
        <v>102</v>
      </c>
      <c r="E202" s="7" t="s">
        <v>30</v>
      </c>
      <c r="F202" s="14">
        <v>1357</v>
      </c>
      <c r="G202" s="15">
        <v>94.29</v>
      </c>
      <c r="H202" s="16">
        <v>3.8249132386506728E-2</v>
      </c>
      <c r="I202" s="16">
        <v>1.2184045956516719E-2</v>
      </c>
      <c r="J202" s="15">
        <v>71.12</v>
      </c>
      <c r="K202" s="14">
        <v>120</v>
      </c>
      <c r="L202" s="14">
        <v>7</v>
      </c>
      <c r="M202" s="15">
        <v>4.93</v>
      </c>
      <c r="N202" s="17">
        <v>127951.53</v>
      </c>
      <c r="O202" s="17">
        <v>4894.0350100260875</v>
      </c>
      <c r="P202" s="17">
        <v>1499.3381742516681</v>
      </c>
      <c r="Q202" s="17">
        <v>121558.15681572229</v>
      </c>
      <c r="R202" s="17">
        <v>96509.840000000011</v>
      </c>
      <c r="S202" s="17">
        <v>25048.31681572225</v>
      </c>
      <c r="T202" s="17">
        <v>34.51</v>
      </c>
    </row>
    <row r="203" spans="1:20" x14ac:dyDescent="0.3">
      <c r="A203" s="13">
        <v>45169</v>
      </c>
      <c r="B203" s="7" t="s">
        <v>109</v>
      </c>
      <c r="C203" s="7" t="s">
        <v>29</v>
      </c>
      <c r="D203" s="7" t="s">
        <v>103</v>
      </c>
      <c r="E203" s="7" t="s">
        <v>25</v>
      </c>
      <c r="F203" s="14">
        <v>1606</v>
      </c>
      <c r="G203" s="15">
        <v>208.17</v>
      </c>
      <c r="H203" s="16">
        <v>5.6162781634150102E-2</v>
      </c>
      <c r="I203" s="16">
        <v>5.1484457091967563E-2</v>
      </c>
      <c r="J203" s="15">
        <v>119.18</v>
      </c>
      <c r="K203" s="14">
        <v>1249</v>
      </c>
      <c r="L203" s="14">
        <v>483</v>
      </c>
      <c r="M203" s="15">
        <v>23.72</v>
      </c>
      <c r="N203" s="17">
        <v>334321.02</v>
      </c>
      <c r="O203" s="17">
        <v>18776.398441966328</v>
      </c>
      <c r="P203" s="17">
        <v>16245.643529205719</v>
      </c>
      <c r="Q203" s="17">
        <v>299298.97802882793</v>
      </c>
      <c r="R203" s="17">
        <v>191403.08</v>
      </c>
      <c r="S203" s="17">
        <v>107895.8980288279</v>
      </c>
      <c r="T203" s="17">
        <v>11456.76</v>
      </c>
    </row>
    <row r="204" spans="1:20" x14ac:dyDescent="0.3">
      <c r="A204" s="13">
        <v>45169</v>
      </c>
      <c r="B204" s="7" t="s">
        <v>109</v>
      </c>
      <c r="C204" s="7" t="s">
        <v>29</v>
      </c>
      <c r="D204" s="7" t="s">
        <v>103</v>
      </c>
      <c r="E204" s="7" t="s">
        <v>28</v>
      </c>
      <c r="F204" s="14">
        <v>890</v>
      </c>
      <c r="G204" s="15">
        <v>204.81</v>
      </c>
      <c r="H204" s="16">
        <v>8.3961154408606853E-2</v>
      </c>
      <c r="I204" s="16">
        <v>7.921524542602669E-2</v>
      </c>
      <c r="J204" s="15">
        <v>119.02</v>
      </c>
      <c r="K204" s="14">
        <v>722</v>
      </c>
      <c r="L204" s="14">
        <v>241</v>
      </c>
      <c r="M204" s="15">
        <v>20.76</v>
      </c>
      <c r="N204" s="17">
        <v>182280.9</v>
      </c>
      <c r="O204" s="17">
        <v>15304.514790639831</v>
      </c>
      <c r="P204" s="17">
        <v>13227.07533471024</v>
      </c>
      <c r="Q204" s="17">
        <v>153749.30987464989</v>
      </c>
      <c r="R204" s="17">
        <v>105927.8</v>
      </c>
      <c r="S204" s="17">
        <v>47821.509874649913</v>
      </c>
      <c r="T204" s="17">
        <v>5003.1600000000008</v>
      </c>
    </row>
    <row r="205" spans="1:20" x14ac:dyDescent="0.3">
      <c r="A205" s="13">
        <v>45169</v>
      </c>
      <c r="B205" s="7" t="s">
        <v>109</v>
      </c>
      <c r="C205" s="7" t="s">
        <v>29</v>
      </c>
      <c r="D205" s="7" t="s">
        <v>103</v>
      </c>
      <c r="E205" s="7" t="s">
        <v>30</v>
      </c>
      <c r="F205" s="14">
        <v>658</v>
      </c>
      <c r="G205" s="15">
        <v>178.45</v>
      </c>
      <c r="H205" s="16">
        <v>3.7991348007360759E-2</v>
      </c>
      <c r="I205" s="16">
        <v>1.7981757683790019E-2</v>
      </c>
      <c r="J205" s="15">
        <v>115.38</v>
      </c>
      <c r="K205" s="14">
        <v>53</v>
      </c>
      <c r="L205" s="14">
        <v>3</v>
      </c>
      <c r="M205" s="15">
        <v>5.38</v>
      </c>
      <c r="N205" s="17">
        <v>117420.1</v>
      </c>
      <c r="O205" s="17">
        <v>4460.947882159101</v>
      </c>
      <c r="P205" s="17">
        <v>2031.204101549391</v>
      </c>
      <c r="Q205" s="17">
        <v>110927.9480162915</v>
      </c>
      <c r="R205" s="17">
        <v>75920.039999999994</v>
      </c>
      <c r="S205" s="17">
        <v>35007.908016291512</v>
      </c>
      <c r="T205" s="17">
        <v>16.14</v>
      </c>
    </row>
    <row r="206" spans="1:20" x14ac:dyDescent="0.3">
      <c r="A206" s="13">
        <v>45169</v>
      </c>
      <c r="B206" s="7" t="s">
        <v>109</v>
      </c>
      <c r="C206" s="7" t="s">
        <v>29</v>
      </c>
      <c r="D206" s="7" t="s">
        <v>104</v>
      </c>
      <c r="E206" s="7" t="s">
        <v>25</v>
      </c>
      <c r="F206" s="14">
        <v>1924</v>
      </c>
      <c r="G206" s="15">
        <v>44.93</v>
      </c>
      <c r="H206" s="16">
        <v>5.9283227478788572E-2</v>
      </c>
      <c r="I206" s="16">
        <v>4.4523717962497343E-2</v>
      </c>
      <c r="J206" s="15">
        <v>21.08</v>
      </c>
      <c r="K206" s="14">
        <v>1270</v>
      </c>
      <c r="L206" s="14">
        <v>483</v>
      </c>
      <c r="M206" s="15">
        <v>34.47</v>
      </c>
      <c r="N206" s="17">
        <v>86445.319999999992</v>
      </c>
      <c r="O206" s="17">
        <v>5124.7575700366706</v>
      </c>
      <c r="P206" s="17">
        <v>3620.6937861833439</v>
      </c>
      <c r="Q206" s="17">
        <v>77699.868643779977</v>
      </c>
      <c r="R206" s="17">
        <v>40557.919999999998</v>
      </c>
      <c r="S206" s="17">
        <v>37141.948643779979</v>
      </c>
      <c r="T206" s="17">
        <v>16649.009999999998</v>
      </c>
    </row>
    <row r="207" spans="1:20" x14ac:dyDescent="0.3">
      <c r="A207" s="13">
        <v>45169</v>
      </c>
      <c r="B207" s="7" t="s">
        <v>109</v>
      </c>
      <c r="C207" s="7" t="s">
        <v>29</v>
      </c>
      <c r="D207" s="7" t="s">
        <v>104</v>
      </c>
      <c r="E207" s="7" t="s">
        <v>28</v>
      </c>
      <c r="F207" s="14">
        <v>583</v>
      </c>
      <c r="G207" s="15">
        <v>43.43</v>
      </c>
      <c r="H207" s="16">
        <v>9.7825047838383278E-2</v>
      </c>
      <c r="I207" s="16">
        <v>6.4886944748732495E-2</v>
      </c>
      <c r="J207" s="15">
        <v>21.9</v>
      </c>
      <c r="K207" s="14">
        <v>505</v>
      </c>
      <c r="L207" s="14">
        <v>162</v>
      </c>
      <c r="M207" s="15">
        <v>16.86</v>
      </c>
      <c r="N207" s="17">
        <v>25319.69</v>
      </c>
      <c r="O207" s="17">
        <v>2476.899885503035</v>
      </c>
      <c r="P207" s="17">
        <v>1482.1988600662571</v>
      </c>
      <c r="Q207" s="17">
        <v>21360.59125443071</v>
      </c>
      <c r="R207" s="17">
        <v>12767.7</v>
      </c>
      <c r="S207" s="17">
        <v>8592.8912544307077</v>
      </c>
      <c r="T207" s="17">
        <v>2731.32</v>
      </c>
    </row>
    <row r="208" spans="1:20" x14ac:dyDescent="0.3">
      <c r="A208" s="13">
        <v>45169</v>
      </c>
      <c r="B208" s="7" t="s">
        <v>109</v>
      </c>
      <c r="C208" s="7" t="s">
        <v>29</v>
      </c>
      <c r="D208" s="7" t="s">
        <v>104</v>
      </c>
      <c r="E208" s="7" t="s">
        <v>30</v>
      </c>
      <c r="F208" s="14">
        <v>513</v>
      </c>
      <c r="G208" s="15">
        <v>36.76</v>
      </c>
      <c r="H208" s="16">
        <v>3.3960744608322158E-2</v>
      </c>
      <c r="I208" s="16">
        <v>2.5699392805645229E-2</v>
      </c>
      <c r="J208" s="15">
        <v>22.64</v>
      </c>
      <c r="K208" s="14">
        <v>42</v>
      </c>
      <c r="L208" s="14">
        <v>3</v>
      </c>
      <c r="M208" s="15">
        <v>4.8899999999999997</v>
      </c>
      <c r="N208" s="17">
        <v>18857.88</v>
      </c>
      <c r="O208" s="17">
        <v>640.42764653438621</v>
      </c>
      <c r="P208" s="17">
        <v>468.1774639498388</v>
      </c>
      <c r="Q208" s="17">
        <v>17749.274889515771</v>
      </c>
      <c r="R208" s="17">
        <v>11614.32</v>
      </c>
      <c r="S208" s="17">
        <v>6134.9548895157714</v>
      </c>
      <c r="T208" s="17">
        <v>14.67</v>
      </c>
    </row>
    <row r="209" spans="1:20" x14ac:dyDescent="0.3">
      <c r="A209" s="13">
        <v>45169</v>
      </c>
      <c r="B209" s="7" t="s">
        <v>109</v>
      </c>
      <c r="C209" s="7" t="s">
        <v>31</v>
      </c>
      <c r="D209" s="7" t="s">
        <v>102</v>
      </c>
      <c r="E209" s="7" t="s">
        <v>25</v>
      </c>
      <c r="F209" s="14">
        <v>1132</v>
      </c>
      <c r="G209" s="15">
        <v>107.13</v>
      </c>
      <c r="H209" s="16">
        <v>5.1006279909345788E-2</v>
      </c>
      <c r="I209" s="16">
        <v>3.4952250787717833E-2</v>
      </c>
      <c r="J209" s="15">
        <v>68.86</v>
      </c>
      <c r="K209" s="14">
        <v>762</v>
      </c>
      <c r="L209" s="14">
        <v>312</v>
      </c>
      <c r="M209" s="15">
        <v>35.15</v>
      </c>
      <c r="N209" s="17">
        <v>121271.16</v>
      </c>
      <c r="O209" s="17">
        <v>6185.5907318910586</v>
      </c>
      <c r="P209" s="17">
        <v>4022.499679106214</v>
      </c>
      <c r="Q209" s="17">
        <v>111063.0695890027</v>
      </c>
      <c r="R209" s="17">
        <v>77949.52</v>
      </c>
      <c r="S209" s="17">
        <v>33113.549589002709</v>
      </c>
      <c r="T209" s="17">
        <v>10966.8</v>
      </c>
    </row>
    <row r="210" spans="1:20" x14ac:dyDescent="0.3">
      <c r="A210" s="13">
        <v>45169</v>
      </c>
      <c r="B210" s="7" t="s">
        <v>109</v>
      </c>
      <c r="C210" s="7" t="s">
        <v>31</v>
      </c>
      <c r="D210" s="7" t="s">
        <v>102</v>
      </c>
      <c r="E210" s="7" t="s">
        <v>28</v>
      </c>
      <c r="F210" s="14">
        <v>722</v>
      </c>
      <c r="G210" s="15">
        <v>98.44</v>
      </c>
      <c r="H210" s="16">
        <v>0.1118075718078375</v>
      </c>
      <c r="I210" s="16">
        <v>5.5165192961829902E-2</v>
      </c>
      <c r="J210" s="15">
        <v>69.62</v>
      </c>
      <c r="K210" s="14">
        <v>593</v>
      </c>
      <c r="L210" s="14">
        <v>174</v>
      </c>
      <c r="M210" s="15">
        <v>22.93</v>
      </c>
      <c r="N210" s="17">
        <v>71073.679999999993</v>
      </c>
      <c r="O210" s="17">
        <v>7946.5755802472604</v>
      </c>
      <c r="P210" s="17">
        <v>3482.4188964372452</v>
      </c>
      <c r="Q210" s="17">
        <v>59644.685523315493</v>
      </c>
      <c r="R210" s="17">
        <v>50265.640000000007</v>
      </c>
      <c r="S210" s="17">
        <v>9379.0455233154789</v>
      </c>
      <c r="T210" s="17">
        <v>3989.82</v>
      </c>
    </row>
    <row r="211" spans="1:20" x14ac:dyDescent="0.3">
      <c r="A211" s="13">
        <v>45169</v>
      </c>
      <c r="B211" s="7" t="s">
        <v>109</v>
      </c>
      <c r="C211" s="7" t="s">
        <v>31</v>
      </c>
      <c r="D211" s="7" t="s">
        <v>102</v>
      </c>
      <c r="E211" s="7" t="s">
        <v>30</v>
      </c>
      <c r="F211" s="14">
        <v>722</v>
      </c>
      <c r="G211" s="15">
        <v>87.85</v>
      </c>
      <c r="H211" s="16">
        <v>3.4577788835619232E-2</v>
      </c>
      <c r="I211" s="16">
        <v>2.1621796408608011E-2</v>
      </c>
      <c r="J211" s="15">
        <v>64.790000000000006</v>
      </c>
      <c r="K211" s="14">
        <v>59</v>
      </c>
      <c r="L211" s="14">
        <v>4</v>
      </c>
      <c r="M211" s="15">
        <v>6.07</v>
      </c>
      <c r="N211" s="17">
        <v>63427.7</v>
      </c>
      <c r="O211" s="17">
        <v>2193.1896169290062</v>
      </c>
      <c r="P211" s="17">
        <v>1324.000116683555</v>
      </c>
      <c r="Q211" s="17">
        <v>59910.510266387428</v>
      </c>
      <c r="R211" s="17">
        <v>46778.38</v>
      </c>
      <c r="S211" s="17">
        <v>13132.13026638743</v>
      </c>
      <c r="T211" s="17">
        <v>24.28</v>
      </c>
    </row>
    <row r="212" spans="1:20" x14ac:dyDescent="0.3">
      <c r="A212" s="13">
        <v>45169</v>
      </c>
      <c r="B212" s="7" t="s">
        <v>109</v>
      </c>
      <c r="C212" s="7" t="s">
        <v>31</v>
      </c>
      <c r="D212" s="7" t="s">
        <v>103</v>
      </c>
      <c r="E212" s="7" t="s">
        <v>25</v>
      </c>
      <c r="F212" s="14">
        <v>694</v>
      </c>
      <c r="G212" s="15">
        <v>195.25</v>
      </c>
      <c r="H212" s="16">
        <v>6.5280244213277466E-2</v>
      </c>
      <c r="I212" s="16">
        <v>3.5250963433774762E-2</v>
      </c>
      <c r="J212" s="15">
        <v>118.15</v>
      </c>
      <c r="K212" s="14">
        <v>482</v>
      </c>
      <c r="L212" s="14">
        <v>186</v>
      </c>
      <c r="M212" s="15">
        <v>24.25</v>
      </c>
      <c r="N212" s="17">
        <v>135503.5</v>
      </c>
      <c r="O212" s="17">
        <v>8845.7015717538434</v>
      </c>
      <c r="P212" s="17">
        <v>4464.8094209965193</v>
      </c>
      <c r="Q212" s="17">
        <v>122192.98900724961</v>
      </c>
      <c r="R212" s="17">
        <v>81996.100000000006</v>
      </c>
      <c r="S212" s="17">
        <v>40196.889007249629</v>
      </c>
      <c r="T212" s="17">
        <v>4510.5</v>
      </c>
    </row>
    <row r="213" spans="1:20" x14ac:dyDescent="0.3">
      <c r="A213" s="13">
        <v>45169</v>
      </c>
      <c r="B213" s="7" t="s">
        <v>109</v>
      </c>
      <c r="C213" s="7" t="s">
        <v>31</v>
      </c>
      <c r="D213" s="7" t="s">
        <v>103</v>
      </c>
      <c r="E213" s="7" t="s">
        <v>28</v>
      </c>
      <c r="F213" s="14">
        <v>351</v>
      </c>
      <c r="G213" s="15">
        <v>181.6</v>
      </c>
      <c r="H213" s="16">
        <v>9.6937755970395348E-2</v>
      </c>
      <c r="I213" s="16">
        <v>6.2693726729093971E-2</v>
      </c>
      <c r="J213" s="15">
        <v>116.36</v>
      </c>
      <c r="K213" s="14">
        <v>315</v>
      </c>
      <c r="L213" s="14">
        <v>89</v>
      </c>
      <c r="M213" s="15">
        <v>19.579999999999998</v>
      </c>
      <c r="N213" s="17">
        <v>63741.599999999999</v>
      </c>
      <c r="O213" s="17">
        <v>6178.967665962552</v>
      </c>
      <c r="P213" s="17">
        <v>3608.8159413574522</v>
      </c>
      <c r="Q213" s="17">
        <v>53953.81639267999</v>
      </c>
      <c r="R213" s="17">
        <v>40842.36</v>
      </c>
      <c r="S213" s="17">
        <v>13111.456392679989</v>
      </c>
      <c r="T213" s="17">
        <v>1742.62</v>
      </c>
    </row>
    <row r="214" spans="1:20" x14ac:dyDescent="0.3">
      <c r="A214" s="13">
        <v>45169</v>
      </c>
      <c r="B214" s="7" t="s">
        <v>109</v>
      </c>
      <c r="C214" s="7" t="s">
        <v>31</v>
      </c>
      <c r="D214" s="7" t="s">
        <v>103</v>
      </c>
      <c r="E214" s="7" t="s">
        <v>30</v>
      </c>
      <c r="F214" s="14">
        <v>307</v>
      </c>
      <c r="G214" s="15">
        <v>160.18</v>
      </c>
      <c r="H214" s="16">
        <v>4.4035442207216377E-2</v>
      </c>
      <c r="I214" s="16">
        <v>2.949940967447608E-2</v>
      </c>
      <c r="J214" s="15">
        <v>114.69</v>
      </c>
      <c r="K214" s="14">
        <v>27</v>
      </c>
      <c r="L214" s="14">
        <v>2</v>
      </c>
      <c r="M214" s="15">
        <v>4.12</v>
      </c>
      <c r="N214" s="17">
        <v>49175.26</v>
      </c>
      <c r="O214" s="17">
        <v>2165.4543197548401</v>
      </c>
      <c r="P214" s="17">
        <v>1386.761516479065</v>
      </c>
      <c r="Q214" s="17">
        <v>45623.044163766099</v>
      </c>
      <c r="R214" s="17">
        <v>35209.83</v>
      </c>
      <c r="S214" s="17">
        <v>10413.214163766101</v>
      </c>
      <c r="T214" s="17">
        <v>8.24</v>
      </c>
    </row>
    <row r="215" spans="1:20" x14ac:dyDescent="0.3">
      <c r="A215" s="13">
        <v>45169</v>
      </c>
      <c r="B215" s="7" t="s">
        <v>109</v>
      </c>
      <c r="C215" s="7" t="s">
        <v>31</v>
      </c>
      <c r="D215" s="7" t="s">
        <v>104</v>
      </c>
      <c r="E215" s="7" t="s">
        <v>25</v>
      </c>
      <c r="F215" s="14">
        <v>736</v>
      </c>
      <c r="G215" s="15">
        <v>41.05</v>
      </c>
      <c r="H215" s="16">
        <v>5.5182046326414692E-2</v>
      </c>
      <c r="I215" s="16">
        <v>3.9094667176958392E-2</v>
      </c>
      <c r="J215" s="15">
        <v>21.32</v>
      </c>
      <c r="K215" s="14">
        <v>505</v>
      </c>
      <c r="L215" s="14">
        <v>167</v>
      </c>
      <c r="M215" s="15">
        <v>33.1</v>
      </c>
      <c r="N215" s="17">
        <v>30212.799999999999</v>
      </c>
      <c r="O215" s="17">
        <v>1667.204129250702</v>
      </c>
      <c r="P215" s="17">
        <v>1115.980569934901</v>
      </c>
      <c r="Q215" s="17">
        <v>27429.615300814399</v>
      </c>
      <c r="R215" s="17">
        <v>15691.52</v>
      </c>
      <c r="S215" s="17">
        <v>11738.095300814401</v>
      </c>
      <c r="T215" s="17">
        <v>5527.7</v>
      </c>
    </row>
    <row r="216" spans="1:20" x14ac:dyDescent="0.3">
      <c r="A216" s="13">
        <v>45169</v>
      </c>
      <c r="B216" s="7" t="s">
        <v>109</v>
      </c>
      <c r="C216" s="7" t="s">
        <v>31</v>
      </c>
      <c r="D216" s="7" t="s">
        <v>104</v>
      </c>
      <c r="E216" s="7" t="s">
        <v>28</v>
      </c>
      <c r="F216" s="14">
        <v>312</v>
      </c>
      <c r="G216" s="15">
        <v>37.54</v>
      </c>
      <c r="H216" s="16">
        <v>9.9973941491981286E-2</v>
      </c>
      <c r="I216" s="16">
        <v>6.9230512260195803E-2</v>
      </c>
      <c r="J216" s="15">
        <v>20.52</v>
      </c>
      <c r="K216" s="14">
        <v>255</v>
      </c>
      <c r="L216" s="14">
        <v>79</v>
      </c>
      <c r="M216" s="15">
        <v>21.52</v>
      </c>
      <c r="N216" s="17">
        <v>11712.48</v>
      </c>
      <c r="O216" s="17">
        <v>1170.9427902460011</v>
      </c>
      <c r="P216" s="17">
        <v>729.79602104118442</v>
      </c>
      <c r="Q216" s="17">
        <v>9811.7411887128146</v>
      </c>
      <c r="R216" s="17">
        <v>6402.24</v>
      </c>
      <c r="S216" s="17">
        <v>3409.5011887128148</v>
      </c>
      <c r="T216" s="17">
        <v>1700.08</v>
      </c>
    </row>
    <row r="217" spans="1:20" x14ac:dyDescent="0.3">
      <c r="A217" s="13">
        <v>45169</v>
      </c>
      <c r="B217" s="7" t="s">
        <v>109</v>
      </c>
      <c r="C217" s="7" t="s">
        <v>31</v>
      </c>
      <c r="D217" s="7" t="s">
        <v>104</v>
      </c>
      <c r="E217" s="7" t="s">
        <v>30</v>
      </c>
      <c r="F217" s="14">
        <v>199</v>
      </c>
      <c r="G217" s="15">
        <v>34.479999999999997</v>
      </c>
      <c r="H217" s="16">
        <v>3.8659204105768889E-2</v>
      </c>
      <c r="I217" s="16">
        <v>1.8253416019409011E-2</v>
      </c>
      <c r="J217" s="15">
        <v>21.1</v>
      </c>
      <c r="K217" s="14">
        <v>17</v>
      </c>
      <c r="L217" s="14">
        <v>1</v>
      </c>
      <c r="M217" s="15">
        <v>4.7300000000000004</v>
      </c>
      <c r="N217" s="17">
        <v>6861.52</v>
      </c>
      <c r="O217" s="17">
        <v>265.26090215581542</v>
      </c>
      <c r="P217" s="17">
        <v>120.40426148476151</v>
      </c>
      <c r="Q217" s="17">
        <v>6475.8548363594227</v>
      </c>
      <c r="R217" s="17">
        <v>4198.9000000000005</v>
      </c>
      <c r="S217" s="17">
        <v>2276.9548363594222</v>
      </c>
      <c r="T217" s="17">
        <v>4.7300000000000004</v>
      </c>
    </row>
    <row r="218" spans="1:20" x14ac:dyDescent="0.3">
      <c r="A218" s="13">
        <v>45199</v>
      </c>
      <c r="B218" s="7" t="s">
        <v>110</v>
      </c>
      <c r="C218" s="7" t="s">
        <v>24</v>
      </c>
      <c r="D218" s="7" t="s">
        <v>102</v>
      </c>
      <c r="E218" s="7" t="s">
        <v>25</v>
      </c>
      <c r="F218" s="14">
        <v>5400</v>
      </c>
      <c r="G218" s="15">
        <v>125.08</v>
      </c>
      <c r="H218" s="16">
        <v>7.5395520353237322E-2</v>
      </c>
      <c r="I218" s="16">
        <v>3.8955507814625277E-2</v>
      </c>
      <c r="J218" s="15">
        <v>70.489999999999995</v>
      </c>
      <c r="K218" s="14">
        <v>3567</v>
      </c>
      <c r="L218" s="14">
        <v>1269</v>
      </c>
      <c r="M218" s="15">
        <v>32.4</v>
      </c>
      <c r="N218" s="17">
        <v>675432</v>
      </c>
      <c r="O218" s="17">
        <v>50924.547103227793</v>
      </c>
      <c r="P218" s="17">
        <v>24328.00496161194</v>
      </c>
      <c r="Q218" s="17">
        <v>600179.44793516025</v>
      </c>
      <c r="R218" s="17">
        <v>380646</v>
      </c>
      <c r="S218" s="17">
        <v>219533.44793516019</v>
      </c>
      <c r="T218" s="17">
        <v>41115.599999999999</v>
      </c>
    </row>
    <row r="219" spans="1:20" x14ac:dyDescent="0.3">
      <c r="A219" s="13">
        <v>45199</v>
      </c>
      <c r="B219" s="7" t="s">
        <v>110</v>
      </c>
      <c r="C219" s="7" t="s">
        <v>24</v>
      </c>
      <c r="D219" s="7" t="s">
        <v>102</v>
      </c>
      <c r="E219" s="7" t="s">
        <v>28</v>
      </c>
      <c r="F219" s="14">
        <v>4047</v>
      </c>
      <c r="G219" s="15">
        <v>117.65</v>
      </c>
      <c r="H219" s="16">
        <v>9.6764771294187896E-2</v>
      </c>
      <c r="I219" s="16">
        <v>6.2843724248981145E-2</v>
      </c>
      <c r="J219" s="15">
        <v>72.97</v>
      </c>
      <c r="K219" s="14">
        <v>3247</v>
      </c>
      <c r="L219" s="14">
        <v>988</v>
      </c>
      <c r="M219" s="15">
        <v>9.24</v>
      </c>
      <c r="N219" s="17">
        <v>476129.55</v>
      </c>
      <c r="O219" s="17">
        <v>46072.567012154614</v>
      </c>
      <c r="P219" s="17">
        <v>27026.382450236939</v>
      </c>
      <c r="Q219" s="17">
        <v>403030.60053760849</v>
      </c>
      <c r="R219" s="17">
        <v>295309.59000000003</v>
      </c>
      <c r="S219" s="17">
        <v>107721.0105376085</v>
      </c>
      <c r="T219" s="17">
        <v>9129.1200000000008</v>
      </c>
    </row>
    <row r="220" spans="1:20" x14ac:dyDescent="0.3">
      <c r="A220" s="13">
        <v>45199</v>
      </c>
      <c r="B220" s="7" t="s">
        <v>110</v>
      </c>
      <c r="C220" s="7" t="s">
        <v>24</v>
      </c>
      <c r="D220" s="7" t="s">
        <v>102</v>
      </c>
      <c r="E220" s="7" t="s">
        <v>30</v>
      </c>
      <c r="F220" s="14">
        <v>2968</v>
      </c>
      <c r="G220" s="15">
        <v>101.46</v>
      </c>
      <c r="H220" s="16">
        <v>4.8241951270977752E-2</v>
      </c>
      <c r="I220" s="16">
        <v>1.9312757426861539E-2</v>
      </c>
      <c r="J220" s="15">
        <v>72.87</v>
      </c>
      <c r="K220" s="14">
        <v>241</v>
      </c>
      <c r="L220" s="14">
        <v>13</v>
      </c>
      <c r="M220" s="15">
        <v>6.45</v>
      </c>
      <c r="N220" s="17">
        <v>301133.28000000003</v>
      </c>
      <c r="O220" s="17">
        <v>14527.2570198297</v>
      </c>
      <c r="P220" s="17">
        <v>5535.1525988935318</v>
      </c>
      <c r="Q220" s="17">
        <v>281070.87038127671</v>
      </c>
      <c r="R220" s="17">
        <v>216278.16</v>
      </c>
      <c r="S220" s="17">
        <v>64792.710381276702</v>
      </c>
      <c r="T220" s="17">
        <v>83.850000000000009</v>
      </c>
    </row>
    <row r="221" spans="1:20" x14ac:dyDescent="0.3">
      <c r="A221" s="13">
        <v>45199</v>
      </c>
      <c r="B221" s="7" t="s">
        <v>110</v>
      </c>
      <c r="C221" s="7" t="s">
        <v>24</v>
      </c>
      <c r="D221" s="7" t="s">
        <v>103</v>
      </c>
      <c r="E221" s="7" t="s">
        <v>25</v>
      </c>
      <c r="F221" s="14">
        <v>4160</v>
      </c>
      <c r="G221" s="15">
        <v>224.41</v>
      </c>
      <c r="H221" s="16">
        <v>4.5582307692925483E-2</v>
      </c>
      <c r="I221" s="16">
        <v>3.7539375118700508E-2</v>
      </c>
      <c r="J221" s="15">
        <v>118.37</v>
      </c>
      <c r="K221" s="14">
        <v>3057</v>
      </c>
      <c r="L221" s="14">
        <v>1213</v>
      </c>
      <c r="M221" s="15">
        <v>44.5</v>
      </c>
      <c r="N221" s="17">
        <v>933545.6</v>
      </c>
      <c r="O221" s="17">
        <v>42553.162784576743</v>
      </c>
      <c r="P221" s="17">
        <v>33447.299328554989</v>
      </c>
      <c r="Q221" s="17">
        <v>857545.13788686821</v>
      </c>
      <c r="R221" s="17">
        <v>492419.2</v>
      </c>
      <c r="S221" s="17">
        <v>365125.9378868682</v>
      </c>
      <c r="T221" s="17">
        <v>53978.5</v>
      </c>
    </row>
    <row r="222" spans="1:20" x14ac:dyDescent="0.3">
      <c r="A222" s="13">
        <v>45199</v>
      </c>
      <c r="B222" s="7" t="s">
        <v>110</v>
      </c>
      <c r="C222" s="7" t="s">
        <v>24</v>
      </c>
      <c r="D222" s="7" t="s">
        <v>103</v>
      </c>
      <c r="E222" s="7" t="s">
        <v>28</v>
      </c>
      <c r="F222" s="14">
        <v>1446</v>
      </c>
      <c r="G222" s="15">
        <v>210.78</v>
      </c>
      <c r="H222" s="16">
        <v>0.11288318904581519</v>
      </c>
      <c r="I222" s="16">
        <v>5.0660259573983207E-2</v>
      </c>
      <c r="J222" s="15">
        <v>122.16</v>
      </c>
      <c r="K222" s="14">
        <v>1211</v>
      </c>
      <c r="L222" s="14">
        <v>375</v>
      </c>
      <c r="M222" s="15">
        <v>15.59</v>
      </c>
      <c r="N222" s="17">
        <v>304787.88</v>
      </c>
      <c r="O222" s="17">
        <v>34405.427876913222</v>
      </c>
      <c r="P222" s="17">
        <v>13697.645208805659</v>
      </c>
      <c r="Q222" s="17">
        <v>256684.8069142811</v>
      </c>
      <c r="R222" s="17">
        <v>176643.36</v>
      </c>
      <c r="S222" s="17">
        <v>80041.446914281143</v>
      </c>
      <c r="T222" s="17">
        <v>5846.25</v>
      </c>
    </row>
    <row r="223" spans="1:20" x14ac:dyDescent="0.3">
      <c r="A223" s="13">
        <v>45199</v>
      </c>
      <c r="B223" s="7" t="s">
        <v>110</v>
      </c>
      <c r="C223" s="7" t="s">
        <v>24</v>
      </c>
      <c r="D223" s="7" t="s">
        <v>103</v>
      </c>
      <c r="E223" s="7" t="s">
        <v>30</v>
      </c>
      <c r="F223" s="14">
        <v>941</v>
      </c>
      <c r="G223" s="15">
        <v>181.7</v>
      </c>
      <c r="H223" s="16">
        <v>3.5845474120756872E-2</v>
      </c>
      <c r="I223" s="16">
        <v>1.2968412681640829E-2</v>
      </c>
      <c r="J223" s="15">
        <v>121.14</v>
      </c>
      <c r="K223" s="14">
        <v>76</v>
      </c>
      <c r="L223" s="14">
        <v>5</v>
      </c>
      <c r="M223" s="15">
        <v>3.65</v>
      </c>
      <c r="N223" s="17">
        <v>170979.7</v>
      </c>
      <c r="O223" s="17">
        <v>6128.848411524772</v>
      </c>
      <c r="P223" s="17">
        <v>2137.8538743192721</v>
      </c>
      <c r="Q223" s="17">
        <v>162712.99771415591</v>
      </c>
      <c r="R223" s="17">
        <v>113992.74</v>
      </c>
      <c r="S223" s="17">
        <v>48720.25771415593</v>
      </c>
      <c r="T223" s="17">
        <v>18.25</v>
      </c>
    </row>
    <row r="224" spans="1:20" x14ac:dyDescent="0.3">
      <c r="A224" s="13">
        <v>45199</v>
      </c>
      <c r="B224" s="7" t="s">
        <v>110</v>
      </c>
      <c r="C224" s="7" t="s">
        <v>24</v>
      </c>
      <c r="D224" s="7" t="s">
        <v>104</v>
      </c>
      <c r="E224" s="7" t="s">
        <v>25</v>
      </c>
      <c r="F224" s="14">
        <v>3012</v>
      </c>
      <c r="G224" s="15">
        <v>45.46</v>
      </c>
      <c r="H224" s="16">
        <v>5.3230592349684747E-2</v>
      </c>
      <c r="I224" s="16">
        <v>4.3191745104191798E-2</v>
      </c>
      <c r="J224" s="15">
        <v>23.16</v>
      </c>
      <c r="K224" s="14">
        <v>2084</v>
      </c>
      <c r="L224" s="14">
        <v>723</v>
      </c>
      <c r="M224" s="15">
        <v>21.2</v>
      </c>
      <c r="N224" s="17">
        <v>136925.51999999999</v>
      </c>
      <c r="O224" s="17">
        <v>7288.6265373886063</v>
      </c>
      <c r="P224" s="17">
        <v>5599.2436585363794</v>
      </c>
      <c r="Q224" s="17">
        <v>124037.649804075</v>
      </c>
      <c r="R224" s="17">
        <v>69757.919999999998</v>
      </c>
      <c r="S224" s="17">
        <v>54279.729804075003</v>
      </c>
      <c r="T224" s="17">
        <v>15327.6</v>
      </c>
    </row>
    <row r="225" spans="1:20" x14ac:dyDescent="0.3">
      <c r="A225" s="13">
        <v>45199</v>
      </c>
      <c r="B225" s="7" t="s">
        <v>110</v>
      </c>
      <c r="C225" s="7" t="s">
        <v>24</v>
      </c>
      <c r="D225" s="7" t="s">
        <v>104</v>
      </c>
      <c r="E225" s="7" t="s">
        <v>28</v>
      </c>
      <c r="F225" s="14">
        <v>1219</v>
      </c>
      <c r="G225" s="15">
        <v>43.3</v>
      </c>
      <c r="H225" s="16">
        <v>7.984841402152594E-2</v>
      </c>
      <c r="I225" s="16">
        <v>5.5214190965000721E-2</v>
      </c>
      <c r="J225" s="15">
        <v>21.73</v>
      </c>
      <c r="K225" s="14">
        <v>1009</v>
      </c>
      <c r="L225" s="14">
        <v>315</v>
      </c>
      <c r="M225" s="15">
        <v>21.49</v>
      </c>
      <c r="N225" s="17">
        <v>52782.7</v>
      </c>
      <c r="O225" s="17">
        <v>4214.6148827739971</v>
      </c>
      <c r="P225" s="17">
        <v>2681.6475264669261</v>
      </c>
      <c r="Q225" s="17">
        <v>45886.437590759073</v>
      </c>
      <c r="R225" s="17">
        <v>26488.87</v>
      </c>
      <c r="S225" s="17">
        <v>19397.56759075907</v>
      </c>
      <c r="T225" s="17">
        <v>6769.3499999999995</v>
      </c>
    </row>
    <row r="226" spans="1:20" x14ac:dyDescent="0.3">
      <c r="A226" s="13">
        <v>45199</v>
      </c>
      <c r="B226" s="7" t="s">
        <v>110</v>
      </c>
      <c r="C226" s="7" t="s">
        <v>24</v>
      </c>
      <c r="D226" s="7" t="s">
        <v>104</v>
      </c>
      <c r="E226" s="7" t="s">
        <v>30</v>
      </c>
      <c r="F226" s="14">
        <v>959</v>
      </c>
      <c r="G226" s="15">
        <v>36.9</v>
      </c>
      <c r="H226" s="16">
        <v>3.0917713644323039E-2</v>
      </c>
      <c r="I226" s="16">
        <v>1.098430161872027E-2</v>
      </c>
      <c r="J226" s="15">
        <v>21.21</v>
      </c>
      <c r="K226" s="14">
        <v>86</v>
      </c>
      <c r="L226" s="14">
        <v>5</v>
      </c>
      <c r="M226" s="15">
        <v>5.24</v>
      </c>
      <c r="N226" s="17">
        <v>35387.1</v>
      </c>
      <c r="O226" s="17">
        <v>1094.0882245030241</v>
      </c>
      <c r="P226" s="17">
        <v>376.68478475638477</v>
      </c>
      <c r="Q226" s="17">
        <v>33916.326990740592</v>
      </c>
      <c r="R226" s="17">
        <v>20340.39</v>
      </c>
      <c r="S226" s="17">
        <v>13575.936990740591</v>
      </c>
      <c r="T226" s="17">
        <v>26.2</v>
      </c>
    </row>
    <row r="227" spans="1:20" x14ac:dyDescent="0.3">
      <c r="A227" s="13">
        <v>45199</v>
      </c>
      <c r="B227" s="7" t="s">
        <v>110</v>
      </c>
      <c r="C227" s="7" t="s">
        <v>27</v>
      </c>
      <c r="D227" s="7" t="s">
        <v>102</v>
      </c>
      <c r="E227" s="7" t="s">
        <v>25</v>
      </c>
      <c r="F227" s="14">
        <v>5541</v>
      </c>
      <c r="G227" s="15">
        <v>130.36000000000001</v>
      </c>
      <c r="H227" s="16">
        <v>6.132113710786994E-2</v>
      </c>
      <c r="I227" s="16">
        <v>5.6122206282554238E-2</v>
      </c>
      <c r="J227" s="15">
        <v>75.66</v>
      </c>
      <c r="K227" s="14">
        <v>3580</v>
      </c>
      <c r="L227" s="14">
        <v>1433</v>
      </c>
      <c r="M227" s="15">
        <v>30.45</v>
      </c>
      <c r="N227" s="17">
        <v>722324.76000000013</v>
      </c>
      <c r="O227" s="17">
        <v>44293.775644369263</v>
      </c>
      <c r="P227" s="17">
        <v>38052.594769970026</v>
      </c>
      <c r="Q227" s="17">
        <v>639978.38958566077</v>
      </c>
      <c r="R227" s="17">
        <v>419232.06</v>
      </c>
      <c r="S227" s="17">
        <v>220746.3295856608</v>
      </c>
      <c r="T227" s="17">
        <v>43634.85</v>
      </c>
    </row>
    <row r="228" spans="1:20" x14ac:dyDescent="0.3">
      <c r="A228" s="13">
        <v>45199</v>
      </c>
      <c r="B228" s="7" t="s">
        <v>110</v>
      </c>
      <c r="C228" s="7" t="s">
        <v>27</v>
      </c>
      <c r="D228" s="7" t="s">
        <v>102</v>
      </c>
      <c r="E228" s="7" t="s">
        <v>28</v>
      </c>
      <c r="F228" s="14">
        <v>1958</v>
      </c>
      <c r="G228" s="15">
        <v>123.38</v>
      </c>
      <c r="H228" s="16">
        <v>7.6673076383459021E-2</v>
      </c>
      <c r="I228" s="16">
        <v>5.8031145493615433E-2</v>
      </c>
      <c r="J228" s="15">
        <v>73.849999999999994</v>
      </c>
      <c r="K228" s="14">
        <v>1491</v>
      </c>
      <c r="L228" s="14">
        <v>428</v>
      </c>
      <c r="M228" s="15">
        <v>17.27</v>
      </c>
      <c r="N228" s="17">
        <v>241578.04</v>
      </c>
      <c r="O228" s="17">
        <v>18522.531513486319</v>
      </c>
      <c r="P228" s="17">
        <v>12944.166666133249</v>
      </c>
      <c r="Q228" s="17">
        <v>210111.34182038039</v>
      </c>
      <c r="R228" s="17">
        <v>144598.29999999999</v>
      </c>
      <c r="S228" s="17">
        <v>65513.041820380429</v>
      </c>
      <c r="T228" s="17">
        <v>7391.5599999999986</v>
      </c>
    </row>
    <row r="229" spans="1:20" x14ac:dyDescent="0.3">
      <c r="A229" s="13">
        <v>45199</v>
      </c>
      <c r="B229" s="7" t="s">
        <v>110</v>
      </c>
      <c r="C229" s="7" t="s">
        <v>27</v>
      </c>
      <c r="D229" s="7" t="s">
        <v>102</v>
      </c>
      <c r="E229" s="7" t="s">
        <v>30</v>
      </c>
      <c r="F229" s="14">
        <v>1636</v>
      </c>
      <c r="G229" s="15">
        <v>105.25</v>
      </c>
      <c r="H229" s="16">
        <v>4.8465594278477617E-2</v>
      </c>
      <c r="I229" s="16">
        <v>1.950705933857869E-2</v>
      </c>
      <c r="J229" s="15">
        <v>73.72</v>
      </c>
      <c r="K229" s="14">
        <v>137</v>
      </c>
      <c r="L229" s="14">
        <v>8</v>
      </c>
      <c r="M229" s="15">
        <v>5.64</v>
      </c>
      <c r="N229" s="17">
        <v>172189</v>
      </c>
      <c r="O229" s="17">
        <v>8345.2422132167831</v>
      </c>
      <c r="P229" s="17">
        <v>3196.1099054024949</v>
      </c>
      <c r="Q229" s="17">
        <v>160647.64788138069</v>
      </c>
      <c r="R229" s="17">
        <v>120605.92</v>
      </c>
      <c r="S229" s="17">
        <v>40041.727881380721</v>
      </c>
      <c r="T229" s="17">
        <v>45.12</v>
      </c>
    </row>
    <row r="230" spans="1:20" x14ac:dyDescent="0.3">
      <c r="A230" s="13">
        <v>45199</v>
      </c>
      <c r="B230" s="7" t="s">
        <v>110</v>
      </c>
      <c r="C230" s="7" t="s">
        <v>27</v>
      </c>
      <c r="D230" s="7" t="s">
        <v>103</v>
      </c>
      <c r="E230" s="7" t="s">
        <v>25</v>
      </c>
      <c r="F230" s="14">
        <v>2397</v>
      </c>
      <c r="G230" s="15">
        <v>238.21</v>
      </c>
      <c r="H230" s="16">
        <v>6.3253531726854911E-2</v>
      </c>
      <c r="I230" s="16">
        <v>2.8562737926793379E-2</v>
      </c>
      <c r="J230" s="15">
        <v>126.72</v>
      </c>
      <c r="K230" s="14">
        <v>1716</v>
      </c>
      <c r="L230" s="14">
        <v>663</v>
      </c>
      <c r="M230" s="15">
        <v>31.81</v>
      </c>
      <c r="N230" s="17">
        <v>570989.37</v>
      </c>
      <c r="O230" s="17">
        <v>36117.094230991897</v>
      </c>
      <c r="P230" s="17">
        <v>15277.416637097729</v>
      </c>
      <c r="Q230" s="17">
        <v>519594.85913191037</v>
      </c>
      <c r="R230" s="17">
        <v>303747.84000000003</v>
      </c>
      <c r="S230" s="17">
        <v>215847.01913191029</v>
      </c>
      <c r="T230" s="17">
        <v>21090.03</v>
      </c>
    </row>
    <row r="231" spans="1:20" x14ac:dyDescent="0.3">
      <c r="A231" s="13">
        <v>45199</v>
      </c>
      <c r="B231" s="7" t="s">
        <v>110</v>
      </c>
      <c r="C231" s="7" t="s">
        <v>27</v>
      </c>
      <c r="D231" s="7" t="s">
        <v>103</v>
      </c>
      <c r="E231" s="7" t="s">
        <v>28</v>
      </c>
      <c r="F231" s="14">
        <v>1006</v>
      </c>
      <c r="G231" s="15">
        <v>224.28</v>
      </c>
      <c r="H231" s="16">
        <v>9.1253406165405046E-2</v>
      </c>
      <c r="I231" s="16">
        <v>6.2397845879961E-2</v>
      </c>
      <c r="J231" s="15">
        <v>122.41</v>
      </c>
      <c r="K231" s="14">
        <v>834</v>
      </c>
      <c r="L231" s="14">
        <v>222</v>
      </c>
      <c r="M231" s="15">
        <v>22.1</v>
      </c>
      <c r="N231" s="17">
        <v>225625.68</v>
      </c>
      <c r="O231" s="17">
        <v>20589.111818385711</v>
      </c>
      <c r="P231" s="17">
        <v>12793.84018115248</v>
      </c>
      <c r="Q231" s="17">
        <v>192242.72800046179</v>
      </c>
      <c r="R231" s="17">
        <v>123144.46</v>
      </c>
      <c r="S231" s="17">
        <v>69098.268000461801</v>
      </c>
      <c r="T231" s="17">
        <v>4906.2000000000007</v>
      </c>
    </row>
    <row r="232" spans="1:20" x14ac:dyDescent="0.3">
      <c r="A232" s="13">
        <v>45199</v>
      </c>
      <c r="B232" s="7" t="s">
        <v>110</v>
      </c>
      <c r="C232" s="7" t="s">
        <v>27</v>
      </c>
      <c r="D232" s="7" t="s">
        <v>103</v>
      </c>
      <c r="E232" s="7" t="s">
        <v>30</v>
      </c>
      <c r="F232" s="14">
        <v>715</v>
      </c>
      <c r="G232" s="15">
        <v>195.16</v>
      </c>
      <c r="H232" s="16">
        <v>5.0651865355657071E-2</v>
      </c>
      <c r="I232" s="16">
        <v>1.40318158412176E-2</v>
      </c>
      <c r="J232" s="15">
        <v>129.79</v>
      </c>
      <c r="K232" s="14">
        <v>62</v>
      </c>
      <c r="L232" s="14">
        <v>4</v>
      </c>
      <c r="M232" s="15">
        <v>5.9</v>
      </c>
      <c r="N232" s="17">
        <v>139539.4</v>
      </c>
      <c r="O232" s="17">
        <v>7067.9309006091744</v>
      </c>
      <c r="P232" s="17">
        <v>1858.8152586182</v>
      </c>
      <c r="Q232" s="17">
        <v>130612.6538407726</v>
      </c>
      <c r="R232" s="17">
        <v>92799.849999999991</v>
      </c>
      <c r="S232" s="17">
        <v>37812.803840772627</v>
      </c>
      <c r="T232" s="17">
        <v>23.6</v>
      </c>
    </row>
    <row r="233" spans="1:20" x14ac:dyDescent="0.3">
      <c r="A233" s="13">
        <v>45199</v>
      </c>
      <c r="B233" s="7" t="s">
        <v>110</v>
      </c>
      <c r="C233" s="7" t="s">
        <v>27</v>
      </c>
      <c r="D233" s="7" t="s">
        <v>104</v>
      </c>
      <c r="E233" s="7" t="s">
        <v>25</v>
      </c>
      <c r="F233" s="14">
        <v>1630</v>
      </c>
      <c r="G233" s="15">
        <v>49.84</v>
      </c>
      <c r="H233" s="16">
        <v>6.2342896548940978E-2</v>
      </c>
      <c r="I233" s="16">
        <v>3.8656912585294523E-2</v>
      </c>
      <c r="J233" s="15">
        <v>23.72</v>
      </c>
      <c r="K233" s="14">
        <v>1187</v>
      </c>
      <c r="L233" s="14">
        <v>444</v>
      </c>
      <c r="M233" s="15">
        <v>36.57</v>
      </c>
      <c r="N233" s="17">
        <v>81239.200000000012</v>
      </c>
      <c r="O233" s="17">
        <v>5064.6870413187271</v>
      </c>
      <c r="P233" s="17">
        <v>2944.671488671127</v>
      </c>
      <c r="Q233" s="17">
        <v>73229.841470010157</v>
      </c>
      <c r="R233" s="17">
        <v>38663.599999999999</v>
      </c>
      <c r="S233" s="17">
        <v>34566.241470010158</v>
      </c>
      <c r="T233" s="17">
        <v>16237.08</v>
      </c>
    </row>
    <row r="234" spans="1:20" x14ac:dyDescent="0.3">
      <c r="A234" s="13">
        <v>45199</v>
      </c>
      <c r="B234" s="7" t="s">
        <v>110</v>
      </c>
      <c r="C234" s="7" t="s">
        <v>27</v>
      </c>
      <c r="D234" s="7" t="s">
        <v>104</v>
      </c>
      <c r="E234" s="7" t="s">
        <v>28</v>
      </c>
      <c r="F234" s="14">
        <v>610</v>
      </c>
      <c r="G234" s="15">
        <v>47.71</v>
      </c>
      <c r="H234" s="16">
        <v>0.1052105193471724</v>
      </c>
      <c r="I234" s="16">
        <v>4.3635503546772023E-2</v>
      </c>
      <c r="J234" s="15">
        <v>22.87</v>
      </c>
      <c r="K234" s="14">
        <v>535</v>
      </c>
      <c r="L234" s="14">
        <v>144</v>
      </c>
      <c r="M234" s="15">
        <v>14.42</v>
      </c>
      <c r="N234" s="17">
        <v>29103.1</v>
      </c>
      <c r="O234" s="17">
        <v>3061.9522656126919</v>
      </c>
      <c r="P234" s="17">
        <v>1136.318594325872</v>
      </c>
      <c r="Q234" s="17">
        <v>24904.82914006144</v>
      </c>
      <c r="R234" s="17">
        <v>13950.7</v>
      </c>
      <c r="S234" s="17">
        <v>10954.129140061439</v>
      </c>
      <c r="T234" s="17">
        <v>2076.48</v>
      </c>
    </row>
    <row r="235" spans="1:20" x14ac:dyDescent="0.3">
      <c r="A235" s="13">
        <v>45199</v>
      </c>
      <c r="B235" s="7" t="s">
        <v>110</v>
      </c>
      <c r="C235" s="7" t="s">
        <v>27</v>
      </c>
      <c r="D235" s="7" t="s">
        <v>104</v>
      </c>
      <c r="E235" s="7" t="s">
        <v>30</v>
      </c>
      <c r="F235" s="14">
        <v>643</v>
      </c>
      <c r="G235" s="15">
        <v>41.9</v>
      </c>
      <c r="H235" s="16">
        <v>4.837410286473974E-2</v>
      </c>
      <c r="I235" s="16">
        <v>1.7189159867108492E-2</v>
      </c>
      <c r="J235" s="15">
        <v>23.01</v>
      </c>
      <c r="K235" s="14">
        <v>53</v>
      </c>
      <c r="L235" s="14">
        <v>3</v>
      </c>
      <c r="M235" s="15">
        <v>3.48</v>
      </c>
      <c r="N235" s="17">
        <v>26941.7</v>
      </c>
      <c r="O235" s="17">
        <v>1303.2805671509591</v>
      </c>
      <c r="P235" s="17">
        <v>440.70289037122319</v>
      </c>
      <c r="Q235" s="17">
        <v>25197.716542477821</v>
      </c>
      <c r="R235" s="17">
        <v>14795.43</v>
      </c>
      <c r="S235" s="17">
        <v>10402.286542477819</v>
      </c>
      <c r="T235" s="17">
        <v>10.44</v>
      </c>
    </row>
    <row r="236" spans="1:20" x14ac:dyDescent="0.3">
      <c r="A236" s="13">
        <v>45199</v>
      </c>
      <c r="B236" s="7" t="s">
        <v>110</v>
      </c>
      <c r="C236" s="7" t="s">
        <v>29</v>
      </c>
      <c r="D236" s="7" t="s">
        <v>102</v>
      </c>
      <c r="E236" s="7" t="s">
        <v>25</v>
      </c>
      <c r="F236" s="14">
        <v>3436</v>
      </c>
      <c r="G236" s="15">
        <v>112.49</v>
      </c>
      <c r="H236" s="16">
        <v>5.4667821667623948E-2</v>
      </c>
      <c r="I236" s="16">
        <v>3.9735942430410731E-2</v>
      </c>
      <c r="J236" s="15">
        <v>70.010000000000005</v>
      </c>
      <c r="K236" s="14">
        <v>2461</v>
      </c>
      <c r="L236" s="14">
        <v>1026</v>
      </c>
      <c r="M236" s="15">
        <v>27.34</v>
      </c>
      <c r="N236" s="17">
        <v>386515.64</v>
      </c>
      <c r="O236" s="17">
        <v>21129.968079267539</v>
      </c>
      <c r="P236" s="17">
        <v>14518.944024339169</v>
      </c>
      <c r="Q236" s="17">
        <v>350866.72789639328</v>
      </c>
      <c r="R236" s="17">
        <v>240554.36</v>
      </c>
      <c r="S236" s="17">
        <v>110312.36789639331</v>
      </c>
      <c r="T236" s="17">
        <v>28050.84</v>
      </c>
    </row>
    <row r="237" spans="1:20" x14ac:dyDescent="0.3">
      <c r="A237" s="13">
        <v>45199</v>
      </c>
      <c r="B237" s="7" t="s">
        <v>110</v>
      </c>
      <c r="C237" s="7" t="s">
        <v>29</v>
      </c>
      <c r="D237" s="7" t="s">
        <v>102</v>
      </c>
      <c r="E237" s="7" t="s">
        <v>28</v>
      </c>
      <c r="F237" s="14">
        <v>1949</v>
      </c>
      <c r="G237" s="15">
        <v>110.59</v>
      </c>
      <c r="H237" s="16">
        <v>9.0086700642447656E-2</v>
      </c>
      <c r="I237" s="16">
        <v>5.3454211642101471E-2</v>
      </c>
      <c r="J237" s="15">
        <v>69.2</v>
      </c>
      <c r="K237" s="14">
        <v>1593</v>
      </c>
      <c r="L237" s="14">
        <v>477</v>
      </c>
      <c r="M237" s="15">
        <v>17.71</v>
      </c>
      <c r="N237" s="17">
        <v>215539.91</v>
      </c>
      <c r="O237" s="17">
        <v>19417.279348670108</v>
      </c>
      <c r="P237" s="17">
        <v>10483.580606641881</v>
      </c>
      <c r="Q237" s="17">
        <v>185639.05004468799</v>
      </c>
      <c r="R237" s="17">
        <v>134870.79999999999</v>
      </c>
      <c r="S237" s="17">
        <v>50768.250044687971</v>
      </c>
      <c r="T237" s="17">
        <v>8447.67</v>
      </c>
    </row>
    <row r="238" spans="1:20" x14ac:dyDescent="0.3">
      <c r="A238" s="13">
        <v>45199</v>
      </c>
      <c r="B238" s="7" t="s">
        <v>110</v>
      </c>
      <c r="C238" s="7" t="s">
        <v>29</v>
      </c>
      <c r="D238" s="7" t="s">
        <v>102</v>
      </c>
      <c r="E238" s="7" t="s">
        <v>30</v>
      </c>
      <c r="F238" s="14">
        <v>1352</v>
      </c>
      <c r="G238" s="15">
        <v>96.51</v>
      </c>
      <c r="H238" s="16">
        <v>3.8227118091825038E-2</v>
      </c>
      <c r="I238" s="16">
        <v>2.3484772022553679E-2</v>
      </c>
      <c r="J238" s="15">
        <v>68.73</v>
      </c>
      <c r="K238" s="14">
        <v>112</v>
      </c>
      <c r="L238" s="14">
        <v>7</v>
      </c>
      <c r="M238" s="15">
        <v>6.06</v>
      </c>
      <c r="N238" s="17">
        <v>130481.52</v>
      </c>
      <c r="O238" s="17">
        <v>4987.9324738408304</v>
      </c>
      <c r="P238" s="17">
        <v>2947.1882933442339</v>
      </c>
      <c r="Q238" s="17">
        <v>122546.3992328149</v>
      </c>
      <c r="R238" s="17">
        <v>92922.96</v>
      </c>
      <c r="S238" s="17">
        <v>29623.43923281493</v>
      </c>
      <c r="T238" s="17">
        <v>42.419999999999987</v>
      </c>
    </row>
    <row r="239" spans="1:20" x14ac:dyDescent="0.3">
      <c r="A239" s="13">
        <v>45199</v>
      </c>
      <c r="B239" s="7" t="s">
        <v>110</v>
      </c>
      <c r="C239" s="7" t="s">
        <v>29</v>
      </c>
      <c r="D239" s="7" t="s">
        <v>103</v>
      </c>
      <c r="E239" s="7" t="s">
        <v>25</v>
      </c>
      <c r="F239" s="14">
        <v>1930</v>
      </c>
      <c r="G239" s="15">
        <v>204.43</v>
      </c>
      <c r="H239" s="16">
        <v>4.9859092779811751E-2</v>
      </c>
      <c r="I239" s="16">
        <v>2.806074993600944E-2</v>
      </c>
      <c r="J239" s="15">
        <v>119.53</v>
      </c>
      <c r="K239" s="14">
        <v>1325</v>
      </c>
      <c r="L239" s="14">
        <v>517</v>
      </c>
      <c r="M239" s="15">
        <v>41.98</v>
      </c>
      <c r="N239" s="17">
        <v>394549.9</v>
      </c>
      <c r="O239" s="17">
        <v>19671.900070365449</v>
      </c>
      <c r="P239" s="17">
        <v>10519.35781253684</v>
      </c>
      <c r="Q239" s="17">
        <v>364358.64211709768</v>
      </c>
      <c r="R239" s="17">
        <v>230692.9</v>
      </c>
      <c r="S239" s="17">
        <v>133665.74211709769</v>
      </c>
      <c r="T239" s="17">
        <v>21703.66</v>
      </c>
    </row>
    <row r="240" spans="1:20" x14ac:dyDescent="0.3">
      <c r="A240" s="13">
        <v>45199</v>
      </c>
      <c r="B240" s="7" t="s">
        <v>110</v>
      </c>
      <c r="C240" s="7" t="s">
        <v>29</v>
      </c>
      <c r="D240" s="7" t="s">
        <v>103</v>
      </c>
      <c r="E240" s="7" t="s">
        <v>28</v>
      </c>
      <c r="F240" s="14">
        <v>1227</v>
      </c>
      <c r="G240" s="15">
        <v>191.02</v>
      </c>
      <c r="H240" s="16">
        <v>8.2673903703590707E-2</v>
      </c>
      <c r="I240" s="16">
        <v>4.8183243721376418E-2</v>
      </c>
      <c r="J240" s="15">
        <v>116.8</v>
      </c>
      <c r="K240" s="14">
        <v>1049</v>
      </c>
      <c r="L240" s="14">
        <v>324</v>
      </c>
      <c r="M240" s="15">
        <v>17.46</v>
      </c>
      <c r="N240" s="17">
        <v>234381.54</v>
      </c>
      <c r="O240" s="17">
        <v>19377.23686785929</v>
      </c>
      <c r="P240" s="17">
        <v>10359.60473896063</v>
      </c>
      <c r="Q240" s="17">
        <v>204644.69839318009</v>
      </c>
      <c r="R240" s="17">
        <v>143313.60000000001</v>
      </c>
      <c r="S240" s="17">
        <v>61331.098393180087</v>
      </c>
      <c r="T240" s="17">
        <v>5657.04</v>
      </c>
    </row>
    <row r="241" spans="1:20" x14ac:dyDescent="0.3">
      <c r="A241" s="13">
        <v>45199</v>
      </c>
      <c r="B241" s="7" t="s">
        <v>110</v>
      </c>
      <c r="C241" s="7" t="s">
        <v>29</v>
      </c>
      <c r="D241" s="7" t="s">
        <v>103</v>
      </c>
      <c r="E241" s="7" t="s">
        <v>30</v>
      </c>
      <c r="F241" s="14">
        <v>603</v>
      </c>
      <c r="G241" s="15">
        <v>169.81</v>
      </c>
      <c r="H241" s="16">
        <v>4.1435481184666903E-2</v>
      </c>
      <c r="I241" s="16">
        <v>3.0370413348749872E-2</v>
      </c>
      <c r="J241" s="15">
        <v>115.74</v>
      </c>
      <c r="K241" s="14">
        <v>46</v>
      </c>
      <c r="L241" s="14">
        <v>3</v>
      </c>
      <c r="M241" s="15">
        <v>2.72</v>
      </c>
      <c r="N241" s="17">
        <v>102395.43</v>
      </c>
      <c r="O241" s="17">
        <v>4242.8039131608766</v>
      </c>
      <c r="P241" s="17">
        <v>2980.9358255225929</v>
      </c>
      <c r="Q241" s="17">
        <v>95171.690261316529</v>
      </c>
      <c r="R241" s="17">
        <v>69791.22</v>
      </c>
      <c r="S241" s="17">
        <v>25380.470261316528</v>
      </c>
      <c r="T241" s="17">
        <v>8.16</v>
      </c>
    </row>
    <row r="242" spans="1:20" x14ac:dyDescent="0.3">
      <c r="A242" s="13">
        <v>45199</v>
      </c>
      <c r="B242" s="7" t="s">
        <v>110</v>
      </c>
      <c r="C242" s="7" t="s">
        <v>29</v>
      </c>
      <c r="D242" s="7" t="s">
        <v>104</v>
      </c>
      <c r="E242" s="7" t="s">
        <v>25</v>
      </c>
      <c r="F242" s="14">
        <v>1372</v>
      </c>
      <c r="G242" s="15">
        <v>42.19</v>
      </c>
      <c r="H242" s="16">
        <v>6.4470293009128696E-2</v>
      </c>
      <c r="I242" s="16">
        <v>3.5346895432199467E-2</v>
      </c>
      <c r="J242" s="15">
        <v>21.75</v>
      </c>
      <c r="K242" s="14">
        <v>988</v>
      </c>
      <c r="L242" s="14">
        <v>420</v>
      </c>
      <c r="M242" s="15">
        <v>47.23</v>
      </c>
      <c r="N242" s="17">
        <v>57884.68</v>
      </c>
      <c r="O242" s="17">
        <v>3731.842280339652</v>
      </c>
      <c r="P242" s="17">
        <v>1914.1346922337009</v>
      </c>
      <c r="Q242" s="17">
        <v>52238.703027426644</v>
      </c>
      <c r="R242" s="17">
        <v>29841</v>
      </c>
      <c r="S242" s="17">
        <v>22397.70302742664</v>
      </c>
      <c r="T242" s="17">
        <v>19836.599999999999</v>
      </c>
    </row>
    <row r="243" spans="1:20" x14ac:dyDescent="0.3">
      <c r="A243" s="13">
        <v>45199</v>
      </c>
      <c r="B243" s="7" t="s">
        <v>110</v>
      </c>
      <c r="C243" s="7" t="s">
        <v>29</v>
      </c>
      <c r="D243" s="7" t="s">
        <v>104</v>
      </c>
      <c r="E243" s="7" t="s">
        <v>28</v>
      </c>
      <c r="F243" s="14">
        <v>501</v>
      </c>
      <c r="G243" s="15">
        <v>42.02</v>
      </c>
      <c r="H243" s="16">
        <v>9.1322772571857086E-2</v>
      </c>
      <c r="I243" s="16">
        <v>6.4620758092561528E-2</v>
      </c>
      <c r="J243" s="15">
        <v>21.56</v>
      </c>
      <c r="K243" s="14">
        <v>422</v>
      </c>
      <c r="L243" s="14">
        <v>130</v>
      </c>
      <c r="M243" s="15">
        <v>18.87</v>
      </c>
      <c r="N243" s="17">
        <v>21052.02</v>
      </c>
      <c r="O243" s="17">
        <v>1922.5288346381869</v>
      </c>
      <c r="P243" s="17">
        <v>1236.1622210306391</v>
      </c>
      <c r="Q243" s="17">
        <v>17893.328944331181</v>
      </c>
      <c r="R243" s="17">
        <v>10801.56</v>
      </c>
      <c r="S243" s="17">
        <v>7091.7689443311774</v>
      </c>
      <c r="T243" s="17">
        <v>2453.1</v>
      </c>
    </row>
    <row r="244" spans="1:20" x14ac:dyDescent="0.3">
      <c r="A244" s="13">
        <v>45199</v>
      </c>
      <c r="B244" s="7" t="s">
        <v>110</v>
      </c>
      <c r="C244" s="7" t="s">
        <v>29</v>
      </c>
      <c r="D244" s="7" t="s">
        <v>104</v>
      </c>
      <c r="E244" s="7" t="s">
        <v>30</v>
      </c>
      <c r="F244" s="14">
        <v>494</v>
      </c>
      <c r="G244" s="15">
        <v>36.03</v>
      </c>
      <c r="H244" s="16">
        <v>3.9824423117890133E-2</v>
      </c>
      <c r="I244" s="16">
        <v>2.5630251253860838E-2</v>
      </c>
      <c r="J244" s="15">
        <v>21.79</v>
      </c>
      <c r="K244" s="14">
        <v>42</v>
      </c>
      <c r="L244" s="14">
        <v>2</v>
      </c>
      <c r="M244" s="15">
        <v>3.4</v>
      </c>
      <c r="N244" s="17">
        <v>17798.82</v>
      </c>
      <c r="O244" s="17">
        <v>708.82773867916524</v>
      </c>
      <c r="P244" s="17">
        <v>438.02079558419041</v>
      </c>
      <c r="Q244" s="17">
        <v>16651.971465736638</v>
      </c>
      <c r="R244" s="17">
        <v>10764.26</v>
      </c>
      <c r="S244" s="17">
        <v>5887.7114657366419</v>
      </c>
      <c r="T244" s="17">
        <v>6.8</v>
      </c>
    </row>
    <row r="245" spans="1:20" x14ac:dyDescent="0.3">
      <c r="A245" s="13">
        <v>45199</v>
      </c>
      <c r="B245" s="7" t="s">
        <v>110</v>
      </c>
      <c r="C245" s="7" t="s">
        <v>31</v>
      </c>
      <c r="D245" s="7" t="s">
        <v>102</v>
      </c>
      <c r="E245" s="7" t="s">
        <v>25</v>
      </c>
      <c r="F245" s="14">
        <v>2266</v>
      </c>
      <c r="G245" s="15">
        <v>105.91</v>
      </c>
      <c r="H245" s="16">
        <v>7.2369942838537357E-2</v>
      </c>
      <c r="I245" s="16">
        <v>1.864325786021305E-2</v>
      </c>
      <c r="J245" s="15">
        <v>73.64</v>
      </c>
      <c r="K245" s="14">
        <v>1506</v>
      </c>
      <c r="L245" s="14">
        <v>550</v>
      </c>
      <c r="M245" s="15">
        <v>38.08</v>
      </c>
      <c r="N245" s="17">
        <v>239992.06</v>
      </c>
      <c r="O245" s="17">
        <v>17368.211663902832</v>
      </c>
      <c r="P245" s="17">
        <v>4150.4338103628206</v>
      </c>
      <c r="Q245" s="17">
        <v>218473.41452573429</v>
      </c>
      <c r="R245" s="17">
        <v>166868.24</v>
      </c>
      <c r="S245" s="17">
        <v>51605.174525734357</v>
      </c>
      <c r="T245" s="17">
        <v>20944</v>
      </c>
    </row>
    <row r="246" spans="1:20" x14ac:dyDescent="0.3">
      <c r="A246" s="13">
        <v>45199</v>
      </c>
      <c r="B246" s="7" t="s">
        <v>110</v>
      </c>
      <c r="C246" s="7" t="s">
        <v>31</v>
      </c>
      <c r="D246" s="7" t="s">
        <v>102</v>
      </c>
      <c r="E246" s="7" t="s">
        <v>28</v>
      </c>
      <c r="F246" s="14">
        <v>854</v>
      </c>
      <c r="G246" s="15">
        <v>102.38</v>
      </c>
      <c r="H246" s="16">
        <v>9.8710410410325772E-2</v>
      </c>
      <c r="I246" s="16">
        <v>6.833406699005172E-2</v>
      </c>
      <c r="J246" s="15">
        <v>67.48</v>
      </c>
      <c r="K246" s="14">
        <v>710</v>
      </c>
      <c r="L246" s="14">
        <v>217</v>
      </c>
      <c r="M246" s="15">
        <v>17.36</v>
      </c>
      <c r="N246" s="17">
        <v>87432.51999999999</v>
      </c>
      <c r="O246" s="17">
        <v>8630.4999324090149</v>
      </c>
      <c r="P246" s="17">
        <v>5384.8625182501619</v>
      </c>
      <c r="Q246" s="17">
        <v>73417.157549340816</v>
      </c>
      <c r="R246" s="17">
        <v>57627.920000000013</v>
      </c>
      <c r="S246" s="17">
        <v>15789.237549340811</v>
      </c>
      <c r="T246" s="17">
        <v>3767.12</v>
      </c>
    </row>
    <row r="247" spans="1:20" x14ac:dyDescent="0.3">
      <c r="A247" s="13">
        <v>45199</v>
      </c>
      <c r="B247" s="7" t="s">
        <v>110</v>
      </c>
      <c r="C247" s="7" t="s">
        <v>31</v>
      </c>
      <c r="D247" s="7" t="s">
        <v>102</v>
      </c>
      <c r="E247" s="7" t="s">
        <v>30</v>
      </c>
      <c r="F247" s="14">
        <v>639</v>
      </c>
      <c r="G247" s="15">
        <v>89.47</v>
      </c>
      <c r="H247" s="16">
        <v>2.2357668192014318E-2</v>
      </c>
      <c r="I247" s="16">
        <v>2.3279503882648812E-2</v>
      </c>
      <c r="J247" s="15">
        <v>67.7</v>
      </c>
      <c r="K247" s="14">
        <v>53</v>
      </c>
      <c r="L247" s="14">
        <v>3</v>
      </c>
      <c r="M247" s="15">
        <v>4.9800000000000004</v>
      </c>
      <c r="N247" s="17">
        <v>57171.33</v>
      </c>
      <c r="O247" s="17">
        <v>1278.217626236154</v>
      </c>
      <c r="P247" s="17">
        <v>1301.1639265183619</v>
      </c>
      <c r="Q247" s="17">
        <v>54591.948447245493</v>
      </c>
      <c r="R247" s="17">
        <v>43260.3</v>
      </c>
      <c r="S247" s="17">
        <v>11331.648447245479</v>
      </c>
      <c r="T247" s="17">
        <v>14.94</v>
      </c>
    </row>
    <row r="248" spans="1:20" x14ac:dyDescent="0.3">
      <c r="A248" s="13">
        <v>45199</v>
      </c>
      <c r="B248" s="7" t="s">
        <v>110</v>
      </c>
      <c r="C248" s="7" t="s">
        <v>31</v>
      </c>
      <c r="D248" s="7" t="s">
        <v>103</v>
      </c>
      <c r="E248" s="7" t="s">
        <v>25</v>
      </c>
      <c r="F248" s="14">
        <v>765</v>
      </c>
      <c r="G248" s="15">
        <v>193.3</v>
      </c>
      <c r="H248" s="16">
        <v>6.3663470584120821E-2</v>
      </c>
      <c r="I248" s="16">
        <v>3.028343265458714E-2</v>
      </c>
      <c r="J248" s="15">
        <v>110.6</v>
      </c>
      <c r="K248" s="14">
        <v>551</v>
      </c>
      <c r="L248" s="14">
        <v>221</v>
      </c>
      <c r="M248" s="15">
        <v>28.39</v>
      </c>
      <c r="N248" s="17">
        <v>147874.5</v>
      </c>
      <c r="O248" s="17">
        <v>9414.203880891575</v>
      </c>
      <c r="P248" s="17">
        <v>4193.0530528572126</v>
      </c>
      <c r="Q248" s="17">
        <v>134267.24306625119</v>
      </c>
      <c r="R248" s="17">
        <v>84609</v>
      </c>
      <c r="S248" s="17">
        <v>49658.24306625122</v>
      </c>
      <c r="T248" s="17">
        <v>6274.1900000000014</v>
      </c>
    </row>
    <row r="249" spans="1:20" x14ac:dyDescent="0.3">
      <c r="A249" s="13">
        <v>45199</v>
      </c>
      <c r="B249" s="7" t="s">
        <v>110</v>
      </c>
      <c r="C249" s="7" t="s">
        <v>31</v>
      </c>
      <c r="D249" s="7" t="s">
        <v>103</v>
      </c>
      <c r="E249" s="7" t="s">
        <v>28</v>
      </c>
      <c r="F249" s="14">
        <v>436</v>
      </c>
      <c r="G249" s="15">
        <v>188.64</v>
      </c>
      <c r="H249" s="16">
        <v>9.6968406876051932E-2</v>
      </c>
      <c r="I249" s="16">
        <v>5.0377776071655708E-2</v>
      </c>
      <c r="J249" s="15">
        <v>116.87</v>
      </c>
      <c r="K249" s="14">
        <v>377</v>
      </c>
      <c r="L249" s="14">
        <v>117</v>
      </c>
      <c r="M249" s="15">
        <v>20.59</v>
      </c>
      <c r="N249" s="17">
        <v>82247.039999999994</v>
      </c>
      <c r="O249" s="17">
        <v>7975.3644390709178</v>
      </c>
      <c r="P249" s="17">
        <v>3741.641839875148</v>
      </c>
      <c r="Q249" s="17">
        <v>70530.033721053915</v>
      </c>
      <c r="R249" s="17">
        <v>50955.32</v>
      </c>
      <c r="S249" s="17">
        <v>19574.713721053911</v>
      </c>
      <c r="T249" s="17">
        <v>2409.0300000000002</v>
      </c>
    </row>
    <row r="250" spans="1:20" x14ac:dyDescent="0.3">
      <c r="A250" s="13">
        <v>45199</v>
      </c>
      <c r="B250" s="7" t="s">
        <v>110</v>
      </c>
      <c r="C250" s="7" t="s">
        <v>31</v>
      </c>
      <c r="D250" s="7" t="s">
        <v>103</v>
      </c>
      <c r="E250" s="7" t="s">
        <v>30</v>
      </c>
      <c r="F250" s="14">
        <v>342</v>
      </c>
      <c r="G250" s="15">
        <v>163.05000000000001</v>
      </c>
      <c r="H250" s="16">
        <v>4.6420901429898562E-2</v>
      </c>
      <c r="I250" s="16">
        <v>1.9867393703754701E-2</v>
      </c>
      <c r="J250" s="15">
        <v>112.32</v>
      </c>
      <c r="K250" s="14">
        <v>30</v>
      </c>
      <c r="L250" s="14">
        <v>2</v>
      </c>
      <c r="M250" s="15">
        <v>4.8499999999999996</v>
      </c>
      <c r="N250" s="17">
        <v>55763.100000000013</v>
      </c>
      <c r="O250" s="17">
        <v>2588.5733685255768</v>
      </c>
      <c r="P250" s="17">
        <v>1056.439255598292</v>
      </c>
      <c r="Q250" s="17">
        <v>52118.087375876137</v>
      </c>
      <c r="R250" s="17">
        <v>38413.440000000002</v>
      </c>
      <c r="S250" s="17">
        <v>13704.64737587614</v>
      </c>
      <c r="T250" s="17">
        <v>9.6999999999999993</v>
      </c>
    </row>
    <row r="251" spans="1:20" x14ac:dyDescent="0.3">
      <c r="A251" s="13">
        <v>45199</v>
      </c>
      <c r="B251" s="7" t="s">
        <v>110</v>
      </c>
      <c r="C251" s="7" t="s">
        <v>31</v>
      </c>
      <c r="D251" s="7" t="s">
        <v>104</v>
      </c>
      <c r="E251" s="7" t="s">
        <v>25</v>
      </c>
      <c r="F251" s="14">
        <v>574</v>
      </c>
      <c r="G251" s="15">
        <v>39.520000000000003</v>
      </c>
      <c r="H251" s="16">
        <v>5.7228346233248642E-2</v>
      </c>
      <c r="I251" s="16">
        <v>2.1063853330462141E-2</v>
      </c>
      <c r="J251" s="15">
        <v>21.29</v>
      </c>
      <c r="K251" s="14">
        <v>385</v>
      </c>
      <c r="L251" s="14">
        <v>145</v>
      </c>
      <c r="M251" s="15">
        <v>32.01</v>
      </c>
      <c r="N251" s="17">
        <v>22684.48</v>
      </c>
      <c r="O251" s="17">
        <v>1298.195275561204</v>
      </c>
      <c r="P251" s="17">
        <v>450.47756471908178</v>
      </c>
      <c r="Q251" s="17">
        <v>20935.807159719719</v>
      </c>
      <c r="R251" s="17">
        <v>12220.46</v>
      </c>
      <c r="S251" s="17">
        <v>8715.3471597197204</v>
      </c>
      <c r="T251" s="17">
        <v>4641.45</v>
      </c>
    </row>
    <row r="252" spans="1:20" x14ac:dyDescent="0.3">
      <c r="A252" s="13">
        <v>45199</v>
      </c>
      <c r="B252" s="7" t="s">
        <v>110</v>
      </c>
      <c r="C252" s="7" t="s">
        <v>31</v>
      </c>
      <c r="D252" s="7" t="s">
        <v>104</v>
      </c>
      <c r="E252" s="7" t="s">
        <v>28</v>
      </c>
      <c r="F252" s="14">
        <v>258</v>
      </c>
      <c r="G252" s="15">
        <v>36.380000000000003</v>
      </c>
      <c r="H252" s="16">
        <v>7.9703215489356105E-2</v>
      </c>
      <c r="I252" s="16">
        <v>4.8462864753190532E-2</v>
      </c>
      <c r="J252" s="15">
        <v>20.56</v>
      </c>
      <c r="K252" s="14">
        <v>221</v>
      </c>
      <c r="L252" s="14">
        <v>70</v>
      </c>
      <c r="M252" s="15">
        <v>20.69</v>
      </c>
      <c r="N252" s="17">
        <v>9386.0400000000009</v>
      </c>
      <c r="O252" s="17">
        <v>748.09756871171601</v>
      </c>
      <c r="P252" s="17">
        <v>418.61943579336992</v>
      </c>
      <c r="Q252" s="17">
        <v>8219.3229954949165</v>
      </c>
      <c r="R252" s="17">
        <v>5304.48</v>
      </c>
      <c r="S252" s="17">
        <v>2914.842995494917</v>
      </c>
      <c r="T252" s="17">
        <v>1448.3</v>
      </c>
    </row>
    <row r="253" spans="1:20" x14ac:dyDescent="0.3">
      <c r="A253" s="13">
        <v>45199</v>
      </c>
      <c r="B253" s="7" t="s">
        <v>110</v>
      </c>
      <c r="C253" s="7" t="s">
        <v>31</v>
      </c>
      <c r="D253" s="7" t="s">
        <v>104</v>
      </c>
      <c r="E253" s="7" t="s">
        <v>30</v>
      </c>
      <c r="F253" s="14">
        <v>231</v>
      </c>
      <c r="G253" s="15">
        <v>33.590000000000003</v>
      </c>
      <c r="H253" s="16">
        <v>3.2564449630879157E-2</v>
      </c>
      <c r="I253" s="16">
        <v>2.0299663151331641E-2</v>
      </c>
      <c r="J253" s="15">
        <v>21.33</v>
      </c>
      <c r="K253" s="14">
        <v>19</v>
      </c>
      <c r="L253" s="14">
        <v>1</v>
      </c>
      <c r="M253" s="15">
        <v>6.22</v>
      </c>
      <c r="N253" s="17">
        <v>7759.2900000000009</v>
      </c>
      <c r="O253" s="17">
        <v>252.67700837638441</v>
      </c>
      <c r="P253" s="17">
        <v>152.3817151373693</v>
      </c>
      <c r="Q253" s="17">
        <v>7354.2312764862472</v>
      </c>
      <c r="R253" s="17">
        <v>4927.2299999999996</v>
      </c>
      <c r="S253" s="17">
        <v>2427.0012764862481</v>
      </c>
      <c r="T253" s="17">
        <v>6.22</v>
      </c>
    </row>
    <row r="254" spans="1:20" x14ac:dyDescent="0.3">
      <c r="A254" s="13">
        <v>45230</v>
      </c>
      <c r="B254" s="7" t="s">
        <v>111</v>
      </c>
      <c r="C254" s="7" t="s">
        <v>24</v>
      </c>
      <c r="D254" s="7" t="s">
        <v>102</v>
      </c>
      <c r="E254" s="7" t="s">
        <v>25</v>
      </c>
      <c r="F254" s="14">
        <v>4213</v>
      </c>
      <c r="G254" s="15">
        <v>126.34</v>
      </c>
      <c r="H254" s="16">
        <v>7.2201423860383557E-2</v>
      </c>
      <c r="I254" s="16">
        <v>3.5083638143679527E-2</v>
      </c>
      <c r="J254" s="15">
        <v>72.7</v>
      </c>
      <c r="K254" s="14">
        <v>2927</v>
      </c>
      <c r="L254" s="14">
        <v>1232</v>
      </c>
      <c r="M254" s="15">
        <v>26.39</v>
      </c>
      <c r="N254" s="17">
        <v>532270.42000000004</v>
      </c>
      <c r="O254" s="17">
        <v>38430.682202764379</v>
      </c>
      <c r="P254" s="17">
        <v>17325.694661847789</v>
      </c>
      <c r="Q254" s="17">
        <v>476514.04313538788</v>
      </c>
      <c r="R254" s="17">
        <v>306285.09999999998</v>
      </c>
      <c r="S254" s="17">
        <v>170228.94313538779</v>
      </c>
      <c r="T254" s="17">
        <v>32512.48</v>
      </c>
    </row>
    <row r="255" spans="1:20" x14ac:dyDescent="0.3">
      <c r="A255" s="13">
        <v>45230</v>
      </c>
      <c r="B255" s="7" t="s">
        <v>111</v>
      </c>
      <c r="C255" s="7" t="s">
        <v>24</v>
      </c>
      <c r="D255" s="7" t="s">
        <v>102</v>
      </c>
      <c r="E255" s="7" t="s">
        <v>28</v>
      </c>
      <c r="F255" s="14">
        <v>3593</v>
      </c>
      <c r="G255" s="15">
        <v>123.14</v>
      </c>
      <c r="H255" s="16">
        <v>0.1058862395076815</v>
      </c>
      <c r="I255" s="16">
        <v>5.2365545614387519E-2</v>
      </c>
      <c r="J255" s="15">
        <v>70.930000000000007</v>
      </c>
      <c r="K255" s="14">
        <v>3055</v>
      </c>
      <c r="L255" s="14">
        <v>975</v>
      </c>
      <c r="M255" s="15">
        <v>12.27</v>
      </c>
      <c r="N255" s="17">
        <v>442442.02</v>
      </c>
      <c r="O255" s="17">
        <v>46848.521697982404</v>
      </c>
      <c r="P255" s="17">
        <v>20715.469380089431</v>
      </c>
      <c r="Q255" s="17">
        <v>374878.0289219282</v>
      </c>
      <c r="R255" s="17">
        <v>254851.49</v>
      </c>
      <c r="S255" s="17">
        <v>120026.53892192819</v>
      </c>
      <c r="T255" s="17">
        <v>11963.25</v>
      </c>
    </row>
    <row r="256" spans="1:20" x14ac:dyDescent="0.3">
      <c r="A256" s="13">
        <v>45230</v>
      </c>
      <c r="B256" s="7" t="s">
        <v>111</v>
      </c>
      <c r="C256" s="7" t="s">
        <v>24</v>
      </c>
      <c r="D256" s="7" t="s">
        <v>102</v>
      </c>
      <c r="E256" s="7" t="s">
        <v>30</v>
      </c>
      <c r="F256" s="14">
        <v>2328</v>
      </c>
      <c r="G256" s="15">
        <v>100.87</v>
      </c>
      <c r="H256" s="16">
        <v>4.38318505071335E-2</v>
      </c>
      <c r="I256" s="16">
        <v>2.560515333662236E-2</v>
      </c>
      <c r="J256" s="15">
        <v>70.989999999999995</v>
      </c>
      <c r="K256" s="14">
        <v>191</v>
      </c>
      <c r="L256" s="14">
        <v>11</v>
      </c>
      <c r="M256" s="15">
        <v>4.99</v>
      </c>
      <c r="N256" s="17">
        <v>234825.36</v>
      </c>
      <c r="O256" s="17">
        <v>10292.830074803809</v>
      </c>
      <c r="P256" s="17">
        <v>5749.1898577943966</v>
      </c>
      <c r="Q256" s="17">
        <v>218783.34006740179</v>
      </c>
      <c r="R256" s="17">
        <v>165264.72</v>
      </c>
      <c r="S256" s="17">
        <v>53518.620067401789</v>
      </c>
      <c r="T256" s="17">
        <v>54.89</v>
      </c>
    </row>
    <row r="257" spans="1:20" x14ac:dyDescent="0.3">
      <c r="A257" s="13">
        <v>45230</v>
      </c>
      <c r="B257" s="7" t="s">
        <v>111</v>
      </c>
      <c r="C257" s="7" t="s">
        <v>24</v>
      </c>
      <c r="D257" s="7" t="s">
        <v>103</v>
      </c>
      <c r="E257" s="7" t="s">
        <v>25</v>
      </c>
      <c r="F257" s="14">
        <v>3109</v>
      </c>
      <c r="G257" s="15">
        <v>219.79</v>
      </c>
      <c r="H257" s="16">
        <v>6.308977686470979E-2</v>
      </c>
      <c r="I257" s="16">
        <v>3.696273971223335E-2</v>
      </c>
      <c r="J257" s="15">
        <v>116.78</v>
      </c>
      <c r="K257" s="14">
        <v>2157</v>
      </c>
      <c r="L257" s="14">
        <v>860</v>
      </c>
      <c r="M257" s="15">
        <v>27.28</v>
      </c>
      <c r="N257" s="17">
        <v>683327.11</v>
      </c>
      <c r="O257" s="17">
        <v>43110.954895506999</v>
      </c>
      <c r="P257" s="17">
        <v>23664.143100694189</v>
      </c>
      <c r="Q257" s="17">
        <v>616552.01200379885</v>
      </c>
      <c r="R257" s="17">
        <v>363069.02</v>
      </c>
      <c r="S257" s="17">
        <v>253482.9920037988</v>
      </c>
      <c r="T257" s="17">
        <v>23460.799999999999</v>
      </c>
    </row>
    <row r="258" spans="1:20" x14ac:dyDescent="0.3">
      <c r="A258" s="13">
        <v>45230</v>
      </c>
      <c r="B258" s="7" t="s">
        <v>111</v>
      </c>
      <c r="C258" s="7" t="s">
        <v>24</v>
      </c>
      <c r="D258" s="7" t="s">
        <v>103</v>
      </c>
      <c r="E258" s="7" t="s">
        <v>28</v>
      </c>
      <c r="F258" s="14">
        <v>1376</v>
      </c>
      <c r="G258" s="15">
        <v>212.2</v>
      </c>
      <c r="H258" s="16">
        <v>0.11276346943251959</v>
      </c>
      <c r="I258" s="16">
        <v>5.7939423174009047E-2</v>
      </c>
      <c r="J258" s="15">
        <v>123.12</v>
      </c>
      <c r="K258" s="14">
        <v>1187</v>
      </c>
      <c r="L258" s="14">
        <v>362</v>
      </c>
      <c r="M258" s="15">
        <v>17.670000000000002</v>
      </c>
      <c r="N258" s="17">
        <v>291987.20000000001</v>
      </c>
      <c r="O258" s="17">
        <v>32925.489701886981</v>
      </c>
      <c r="P258" s="17">
        <v>15009.886061144911</v>
      </c>
      <c r="Q258" s="17">
        <v>244051.8242369681</v>
      </c>
      <c r="R258" s="17">
        <v>169413.12</v>
      </c>
      <c r="S258" s="17">
        <v>74638.704236968129</v>
      </c>
      <c r="T258" s="17">
        <v>6396.5400000000009</v>
      </c>
    </row>
    <row r="259" spans="1:20" x14ac:dyDescent="0.3">
      <c r="A259" s="13">
        <v>45230</v>
      </c>
      <c r="B259" s="7" t="s">
        <v>111</v>
      </c>
      <c r="C259" s="7" t="s">
        <v>24</v>
      </c>
      <c r="D259" s="7" t="s">
        <v>103</v>
      </c>
      <c r="E259" s="7" t="s">
        <v>30</v>
      </c>
      <c r="F259" s="14">
        <v>1258</v>
      </c>
      <c r="G259" s="15">
        <v>183.6</v>
      </c>
      <c r="H259" s="16">
        <v>6.0670611020749547E-2</v>
      </c>
      <c r="I259" s="16">
        <v>2.4631077011207959E-2</v>
      </c>
      <c r="J259" s="15">
        <v>125.21</v>
      </c>
      <c r="K259" s="14">
        <v>102</v>
      </c>
      <c r="L259" s="14">
        <v>5</v>
      </c>
      <c r="M259" s="15">
        <v>6.11</v>
      </c>
      <c r="N259" s="17">
        <v>230968.8</v>
      </c>
      <c r="O259" s="17">
        <v>14013.018222729301</v>
      </c>
      <c r="P259" s="17">
        <v>5343.8545689827824</v>
      </c>
      <c r="Q259" s="17">
        <v>211611.9272082879</v>
      </c>
      <c r="R259" s="17">
        <v>157514.18</v>
      </c>
      <c r="S259" s="17">
        <v>54097.74720828791</v>
      </c>
      <c r="T259" s="17">
        <v>30.55</v>
      </c>
    </row>
    <row r="260" spans="1:20" x14ac:dyDescent="0.3">
      <c r="A260" s="13">
        <v>45230</v>
      </c>
      <c r="B260" s="7" t="s">
        <v>111</v>
      </c>
      <c r="C260" s="7" t="s">
        <v>24</v>
      </c>
      <c r="D260" s="7" t="s">
        <v>104</v>
      </c>
      <c r="E260" s="7" t="s">
        <v>25</v>
      </c>
      <c r="F260" s="14">
        <v>2680</v>
      </c>
      <c r="G260" s="15">
        <v>45.59</v>
      </c>
      <c r="H260" s="16">
        <v>7.646559707259698E-2</v>
      </c>
      <c r="I260" s="16">
        <v>5.203884437168816E-2</v>
      </c>
      <c r="J260" s="15">
        <v>22.22</v>
      </c>
      <c r="K260" s="14">
        <v>1863</v>
      </c>
      <c r="L260" s="14">
        <v>682</v>
      </c>
      <c r="M260" s="15">
        <v>29.41</v>
      </c>
      <c r="N260" s="17">
        <v>122181.2</v>
      </c>
      <c r="O260" s="17">
        <v>9342.6584090463875</v>
      </c>
      <c r="P260" s="17">
        <v>5871.9873049798971</v>
      </c>
      <c r="Q260" s="17">
        <v>106966.5542859737</v>
      </c>
      <c r="R260" s="17">
        <v>59549.599999999999</v>
      </c>
      <c r="S260" s="17">
        <v>47416.954285973727</v>
      </c>
      <c r="T260" s="17">
        <v>20057.62</v>
      </c>
    </row>
    <row r="261" spans="1:20" x14ac:dyDescent="0.3">
      <c r="A261" s="13">
        <v>45230</v>
      </c>
      <c r="B261" s="7" t="s">
        <v>111</v>
      </c>
      <c r="C261" s="7" t="s">
        <v>24</v>
      </c>
      <c r="D261" s="7" t="s">
        <v>104</v>
      </c>
      <c r="E261" s="7" t="s">
        <v>28</v>
      </c>
      <c r="F261" s="14">
        <v>1199</v>
      </c>
      <c r="G261" s="15">
        <v>40.72</v>
      </c>
      <c r="H261" s="16">
        <v>9.174194725762623E-2</v>
      </c>
      <c r="I261" s="16">
        <v>4.1689313611287623E-2</v>
      </c>
      <c r="J261" s="15">
        <v>21.97</v>
      </c>
      <c r="K261" s="14">
        <v>1023</v>
      </c>
      <c r="L261" s="14">
        <v>280</v>
      </c>
      <c r="M261" s="15">
        <v>17.52</v>
      </c>
      <c r="N261" s="17">
        <v>48823.28</v>
      </c>
      <c r="O261" s="17">
        <v>4479.1427787043176</v>
      </c>
      <c r="P261" s="17">
        <v>1848.6766434405679</v>
      </c>
      <c r="Q261" s="17">
        <v>42495.460577855112</v>
      </c>
      <c r="R261" s="17">
        <v>26342.03</v>
      </c>
      <c r="S261" s="17">
        <v>16153.43057785511</v>
      </c>
      <c r="T261" s="17">
        <v>4905.5999999999995</v>
      </c>
    </row>
    <row r="262" spans="1:20" x14ac:dyDescent="0.3">
      <c r="A262" s="13">
        <v>45230</v>
      </c>
      <c r="B262" s="7" t="s">
        <v>111</v>
      </c>
      <c r="C262" s="7" t="s">
        <v>24</v>
      </c>
      <c r="D262" s="7" t="s">
        <v>104</v>
      </c>
      <c r="E262" s="7" t="s">
        <v>30</v>
      </c>
      <c r="F262" s="14">
        <v>884</v>
      </c>
      <c r="G262" s="15">
        <v>37.96</v>
      </c>
      <c r="H262" s="16">
        <v>5.4666553580325523E-2</v>
      </c>
      <c r="I262" s="16">
        <v>1.430583441109616E-2</v>
      </c>
      <c r="J262" s="15">
        <v>23.01</v>
      </c>
      <c r="K262" s="14">
        <v>78</v>
      </c>
      <c r="L262" s="14">
        <v>5</v>
      </c>
      <c r="M262" s="15">
        <v>4.93</v>
      </c>
      <c r="N262" s="17">
        <v>33556.639999999999</v>
      </c>
      <c r="O262" s="17">
        <v>1834.425858535694</v>
      </c>
      <c r="P262" s="17">
        <v>453.81274266112109</v>
      </c>
      <c r="Q262" s="17">
        <v>31268.40139880318</v>
      </c>
      <c r="R262" s="17">
        <v>20340.84</v>
      </c>
      <c r="S262" s="17">
        <v>10927.56139880318</v>
      </c>
      <c r="T262" s="17">
        <v>24.65</v>
      </c>
    </row>
    <row r="263" spans="1:20" x14ac:dyDescent="0.3">
      <c r="A263" s="13">
        <v>45230</v>
      </c>
      <c r="B263" s="7" t="s">
        <v>111</v>
      </c>
      <c r="C263" s="7" t="s">
        <v>27</v>
      </c>
      <c r="D263" s="7" t="s">
        <v>102</v>
      </c>
      <c r="E263" s="7" t="s">
        <v>25</v>
      </c>
      <c r="F263" s="14">
        <v>5730</v>
      </c>
      <c r="G263" s="15">
        <v>135.05000000000001</v>
      </c>
      <c r="H263" s="16">
        <v>7.395230002402392E-2</v>
      </c>
      <c r="I263" s="16">
        <v>3.0979484456424899E-2</v>
      </c>
      <c r="J263" s="15">
        <v>71.900000000000006</v>
      </c>
      <c r="K263" s="14">
        <v>3782</v>
      </c>
      <c r="L263" s="14">
        <v>1303</v>
      </c>
      <c r="M263" s="15">
        <v>38.479999999999997</v>
      </c>
      <c r="N263" s="17">
        <v>773836.50000000012</v>
      </c>
      <c r="O263" s="17">
        <v>57226.989017540604</v>
      </c>
      <c r="P263" s="17">
        <v>22200.193206807351</v>
      </c>
      <c r="Q263" s="17">
        <v>694409.31777565216</v>
      </c>
      <c r="R263" s="17">
        <v>411987.00000000012</v>
      </c>
      <c r="S263" s="17">
        <v>282422.3177756521</v>
      </c>
      <c r="T263" s="17">
        <v>50139.44</v>
      </c>
    </row>
    <row r="264" spans="1:20" x14ac:dyDescent="0.3">
      <c r="A264" s="13">
        <v>45230</v>
      </c>
      <c r="B264" s="7" t="s">
        <v>111</v>
      </c>
      <c r="C264" s="7" t="s">
        <v>27</v>
      </c>
      <c r="D264" s="7" t="s">
        <v>102</v>
      </c>
      <c r="E264" s="7" t="s">
        <v>28</v>
      </c>
      <c r="F264" s="14">
        <v>1863</v>
      </c>
      <c r="G264" s="15">
        <v>126.39</v>
      </c>
      <c r="H264" s="16">
        <v>9.5070722863765222E-2</v>
      </c>
      <c r="I264" s="16">
        <v>6.9047811466235148E-2</v>
      </c>
      <c r="J264" s="15">
        <v>72.62</v>
      </c>
      <c r="K264" s="14">
        <v>1655</v>
      </c>
      <c r="L264" s="14">
        <v>470</v>
      </c>
      <c r="M264" s="15">
        <v>17.47</v>
      </c>
      <c r="N264" s="17">
        <v>235464.57</v>
      </c>
      <c r="O264" s="17">
        <v>22385.78687870565</v>
      </c>
      <c r="P264" s="17">
        <v>14712.623644413939</v>
      </c>
      <c r="Q264" s="17">
        <v>198366.15947688039</v>
      </c>
      <c r="R264" s="17">
        <v>135291.06</v>
      </c>
      <c r="S264" s="17">
        <v>63075.099476880423</v>
      </c>
      <c r="T264" s="17">
        <v>8210.9</v>
      </c>
    </row>
    <row r="265" spans="1:20" x14ac:dyDescent="0.3">
      <c r="A265" s="13">
        <v>45230</v>
      </c>
      <c r="B265" s="7" t="s">
        <v>111</v>
      </c>
      <c r="C265" s="7" t="s">
        <v>27</v>
      </c>
      <c r="D265" s="7" t="s">
        <v>102</v>
      </c>
      <c r="E265" s="7" t="s">
        <v>30</v>
      </c>
      <c r="F265" s="14">
        <v>1860</v>
      </c>
      <c r="G265" s="15">
        <v>107.13</v>
      </c>
      <c r="H265" s="16">
        <v>4.8285500634949872E-2</v>
      </c>
      <c r="I265" s="16">
        <v>1.5028253126957439E-2</v>
      </c>
      <c r="J265" s="15">
        <v>68.150000000000006</v>
      </c>
      <c r="K265" s="14">
        <v>149</v>
      </c>
      <c r="L265" s="14">
        <v>9</v>
      </c>
      <c r="M265" s="15">
        <v>4.83</v>
      </c>
      <c r="N265" s="17">
        <v>199261.8</v>
      </c>
      <c r="O265" s="17">
        <v>9621.455770421253</v>
      </c>
      <c r="P265" s="17">
        <v>2849.963096165452</v>
      </c>
      <c r="Q265" s="17">
        <v>186790.38113341329</v>
      </c>
      <c r="R265" s="17">
        <v>126759</v>
      </c>
      <c r="S265" s="17">
        <v>60031.381133413277</v>
      </c>
      <c r="T265" s="17">
        <v>43.47</v>
      </c>
    </row>
    <row r="266" spans="1:20" x14ac:dyDescent="0.3">
      <c r="A266" s="13">
        <v>45230</v>
      </c>
      <c r="B266" s="7" t="s">
        <v>111</v>
      </c>
      <c r="C266" s="7" t="s">
        <v>27</v>
      </c>
      <c r="D266" s="7" t="s">
        <v>103</v>
      </c>
      <c r="E266" s="7" t="s">
        <v>25</v>
      </c>
      <c r="F266" s="14">
        <v>3564</v>
      </c>
      <c r="G266" s="15">
        <v>241.04</v>
      </c>
      <c r="H266" s="16">
        <v>7.0235891874526488E-2</v>
      </c>
      <c r="I266" s="16">
        <v>4.5471191151752112E-2</v>
      </c>
      <c r="J266" s="15">
        <v>122.07</v>
      </c>
      <c r="K266" s="14">
        <v>2535</v>
      </c>
      <c r="L266" s="14">
        <v>962</v>
      </c>
      <c r="M266" s="15">
        <v>38.42</v>
      </c>
      <c r="N266" s="17">
        <v>859066.55999999994</v>
      </c>
      <c r="O266" s="17">
        <v>60337.306021181423</v>
      </c>
      <c r="P266" s="17">
        <v>36319.170586167224</v>
      </c>
      <c r="Q266" s="17">
        <v>762410.08339265129</v>
      </c>
      <c r="R266" s="17">
        <v>435057.48</v>
      </c>
      <c r="S266" s="17">
        <v>327352.6033926513</v>
      </c>
      <c r="T266" s="17">
        <v>36960.04</v>
      </c>
    </row>
    <row r="267" spans="1:20" x14ac:dyDescent="0.3">
      <c r="A267" s="13">
        <v>45230</v>
      </c>
      <c r="B267" s="7" t="s">
        <v>111</v>
      </c>
      <c r="C267" s="7" t="s">
        <v>27</v>
      </c>
      <c r="D267" s="7" t="s">
        <v>103</v>
      </c>
      <c r="E267" s="7" t="s">
        <v>28</v>
      </c>
      <c r="F267" s="14">
        <v>1193</v>
      </c>
      <c r="G267" s="15">
        <v>228.19</v>
      </c>
      <c r="H267" s="16">
        <v>0.1100929185395023</v>
      </c>
      <c r="I267" s="16">
        <v>6.8877212006120667E-2</v>
      </c>
      <c r="J267" s="15">
        <v>125.21</v>
      </c>
      <c r="K267" s="14">
        <v>1023</v>
      </c>
      <c r="L267" s="14">
        <v>315</v>
      </c>
      <c r="M267" s="15">
        <v>16.14</v>
      </c>
      <c r="N267" s="17">
        <v>272230.67</v>
      </c>
      <c r="O267" s="17">
        <v>29970.668976264129</v>
      </c>
      <c r="P267" s="17">
        <v>16686.193451114861</v>
      </c>
      <c r="Q267" s="17">
        <v>225573.80757262101</v>
      </c>
      <c r="R267" s="17">
        <v>149375.53</v>
      </c>
      <c r="S267" s="17">
        <v>76198.27757262098</v>
      </c>
      <c r="T267" s="17">
        <v>5084.1000000000004</v>
      </c>
    </row>
    <row r="268" spans="1:20" x14ac:dyDescent="0.3">
      <c r="A268" s="13">
        <v>45230</v>
      </c>
      <c r="B268" s="7" t="s">
        <v>111</v>
      </c>
      <c r="C268" s="7" t="s">
        <v>27</v>
      </c>
      <c r="D268" s="7" t="s">
        <v>103</v>
      </c>
      <c r="E268" s="7" t="s">
        <v>30</v>
      </c>
      <c r="F268" s="14">
        <v>855</v>
      </c>
      <c r="G268" s="15">
        <v>191.66</v>
      </c>
      <c r="H268" s="16">
        <v>5.1235706309273883E-2</v>
      </c>
      <c r="I268" s="16">
        <v>2.025443850928009E-2</v>
      </c>
      <c r="J268" s="15">
        <v>127.22</v>
      </c>
      <c r="K268" s="14">
        <v>76</v>
      </c>
      <c r="L268" s="14">
        <v>4</v>
      </c>
      <c r="M268" s="15">
        <v>5.22</v>
      </c>
      <c r="N268" s="17">
        <v>163869.29999999999</v>
      </c>
      <c r="O268" s="17">
        <v>8395.9593279062938</v>
      </c>
      <c r="P268" s="17">
        <v>3149.0252184752771</v>
      </c>
      <c r="Q268" s="17">
        <v>152324.31545361839</v>
      </c>
      <c r="R268" s="17">
        <v>108773.1</v>
      </c>
      <c r="S268" s="17">
        <v>43551.21545361841</v>
      </c>
      <c r="T268" s="17">
        <v>20.88</v>
      </c>
    </row>
    <row r="269" spans="1:20" x14ac:dyDescent="0.3">
      <c r="A269" s="13">
        <v>45230</v>
      </c>
      <c r="B269" s="7" t="s">
        <v>111</v>
      </c>
      <c r="C269" s="7" t="s">
        <v>27</v>
      </c>
      <c r="D269" s="7" t="s">
        <v>104</v>
      </c>
      <c r="E269" s="7" t="s">
        <v>25</v>
      </c>
      <c r="F269" s="14">
        <v>1774</v>
      </c>
      <c r="G269" s="15">
        <v>48.6</v>
      </c>
      <c r="H269" s="16">
        <v>6.891582501843499E-2</v>
      </c>
      <c r="I269" s="16">
        <v>2.356811188845833E-2</v>
      </c>
      <c r="J269" s="15">
        <v>23.08</v>
      </c>
      <c r="K269" s="14">
        <v>1296</v>
      </c>
      <c r="L269" s="14">
        <v>445</v>
      </c>
      <c r="M269" s="15">
        <v>41.57</v>
      </c>
      <c r="N269" s="17">
        <v>86216.400000000009</v>
      </c>
      <c r="O269" s="17">
        <v>5941.6743361193994</v>
      </c>
      <c r="P269" s="17">
        <v>1891.923716261635</v>
      </c>
      <c r="Q269" s="17">
        <v>78382.80194761898</v>
      </c>
      <c r="R269" s="17">
        <v>40943.919999999998</v>
      </c>
      <c r="S269" s="17">
        <v>37438.881947618982</v>
      </c>
      <c r="T269" s="17">
        <v>18498.650000000001</v>
      </c>
    </row>
    <row r="270" spans="1:20" x14ac:dyDescent="0.3">
      <c r="A270" s="13">
        <v>45230</v>
      </c>
      <c r="B270" s="7" t="s">
        <v>111</v>
      </c>
      <c r="C270" s="7" t="s">
        <v>27</v>
      </c>
      <c r="D270" s="7" t="s">
        <v>104</v>
      </c>
      <c r="E270" s="7" t="s">
        <v>28</v>
      </c>
      <c r="F270" s="14">
        <v>843</v>
      </c>
      <c r="G270" s="15">
        <v>45.93</v>
      </c>
      <c r="H270" s="16">
        <v>9.4372054295140936E-2</v>
      </c>
      <c r="I270" s="16">
        <v>5.5234273548656489E-2</v>
      </c>
      <c r="J270" s="15">
        <v>24.09</v>
      </c>
      <c r="K270" s="14">
        <v>709</v>
      </c>
      <c r="L270" s="14">
        <v>197</v>
      </c>
      <c r="M270" s="15">
        <v>19.809999999999999</v>
      </c>
      <c r="N270" s="17">
        <v>38718.99</v>
      </c>
      <c r="O270" s="17">
        <v>3653.9906265330192</v>
      </c>
      <c r="P270" s="17">
        <v>1936.7897673775431</v>
      </c>
      <c r="Q270" s="17">
        <v>33128.209606089433</v>
      </c>
      <c r="R270" s="17">
        <v>20307.87</v>
      </c>
      <c r="S270" s="17">
        <v>12820.33960608943</v>
      </c>
      <c r="T270" s="17">
        <v>3902.57</v>
      </c>
    </row>
    <row r="271" spans="1:20" x14ac:dyDescent="0.3">
      <c r="A271" s="13">
        <v>45230</v>
      </c>
      <c r="B271" s="7" t="s">
        <v>111</v>
      </c>
      <c r="C271" s="7" t="s">
        <v>27</v>
      </c>
      <c r="D271" s="7" t="s">
        <v>104</v>
      </c>
      <c r="E271" s="7" t="s">
        <v>30</v>
      </c>
      <c r="F271" s="14">
        <v>550</v>
      </c>
      <c r="G271" s="15">
        <v>41.86</v>
      </c>
      <c r="H271" s="16">
        <v>6.1854055149262802E-2</v>
      </c>
      <c r="I271" s="16">
        <v>1.4924529040860659E-2</v>
      </c>
      <c r="J271" s="15">
        <v>22.64</v>
      </c>
      <c r="K271" s="14">
        <v>46</v>
      </c>
      <c r="L271" s="14">
        <v>3</v>
      </c>
      <c r="M271" s="15">
        <v>3.87</v>
      </c>
      <c r="N271" s="17">
        <v>23023</v>
      </c>
      <c r="O271" s="17">
        <v>1424.065911701477</v>
      </c>
      <c r="P271" s="17">
        <v>322.35391905244649</v>
      </c>
      <c r="Q271" s="17">
        <v>21276.580169246081</v>
      </c>
      <c r="R271" s="17">
        <v>12452</v>
      </c>
      <c r="S271" s="17">
        <v>8824.5801692460773</v>
      </c>
      <c r="T271" s="17">
        <v>11.61</v>
      </c>
    </row>
    <row r="272" spans="1:20" x14ac:dyDescent="0.3">
      <c r="A272" s="13">
        <v>45230</v>
      </c>
      <c r="B272" s="7" t="s">
        <v>111</v>
      </c>
      <c r="C272" s="7" t="s">
        <v>29</v>
      </c>
      <c r="D272" s="7" t="s">
        <v>102</v>
      </c>
      <c r="E272" s="7" t="s">
        <v>25</v>
      </c>
      <c r="F272" s="14">
        <v>3825</v>
      </c>
      <c r="G272" s="15">
        <v>116.19</v>
      </c>
      <c r="H272" s="16">
        <v>6.6641601005824141E-2</v>
      </c>
      <c r="I272" s="16">
        <v>4.1517579922487398E-2</v>
      </c>
      <c r="J272" s="15">
        <v>67.819999999999993</v>
      </c>
      <c r="K272" s="14">
        <v>2687</v>
      </c>
      <c r="L272" s="14">
        <v>1082</v>
      </c>
      <c r="M272" s="15">
        <v>44.04</v>
      </c>
      <c r="N272" s="17">
        <v>444426.75</v>
      </c>
      <c r="O272" s="17">
        <v>29617.310149815159</v>
      </c>
      <c r="P272" s="17">
        <v>17221.884071582281</v>
      </c>
      <c r="Q272" s="17">
        <v>397587.55577860249</v>
      </c>
      <c r="R272" s="17">
        <v>259411.5</v>
      </c>
      <c r="S272" s="17">
        <v>138176.0557786026</v>
      </c>
      <c r="T272" s="17">
        <v>47651.28</v>
      </c>
    </row>
    <row r="273" spans="1:20" x14ac:dyDescent="0.3">
      <c r="A273" s="13">
        <v>45230</v>
      </c>
      <c r="B273" s="7" t="s">
        <v>111</v>
      </c>
      <c r="C273" s="7" t="s">
        <v>29</v>
      </c>
      <c r="D273" s="7" t="s">
        <v>102</v>
      </c>
      <c r="E273" s="7" t="s">
        <v>28</v>
      </c>
      <c r="F273" s="14">
        <v>1358</v>
      </c>
      <c r="G273" s="15">
        <v>109.45</v>
      </c>
      <c r="H273" s="16">
        <v>9.7149414474977575E-2</v>
      </c>
      <c r="I273" s="16">
        <v>5.463831865784359E-2</v>
      </c>
      <c r="J273" s="15">
        <v>69.19</v>
      </c>
      <c r="K273" s="14">
        <v>1140</v>
      </c>
      <c r="L273" s="14">
        <v>384</v>
      </c>
      <c r="M273" s="15">
        <v>22.45</v>
      </c>
      <c r="N273" s="17">
        <v>148633.1</v>
      </c>
      <c r="O273" s="17">
        <v>14439.61863660079</v>
      </c>
      <c r="P273" s="17">
        <v>7332.1061965388017</v>
      </c>
      <c r="Q273" s="17">
        <v>126861.37516686039</v>
      </c>
      <c r="R273" s="17">
        <v>93960.02</v>
      </c>
      <c r="S273" s="17">
        <v>32901.355166860412</v>
      </c>
      <c r="T273" s="17">
        <v>8620.7999999999993</v>
      </c>
    </row>
    <row r="274" spans="1:20" x14ac:dyDescent="0.3">
      <c r="A274" s="13">
        <v>45230</v>
      </c>
      <c r="B274" s="7" t="s">
        <v>111</v>
      </c>
      <c r="C274" s="7" t="s">
        <v>29</v>
      </c>
      <c r="D274" s="7" t="s">
        <v>102</v>
      </c>
      <c r="E274" s="7" t="s">
        <v>30</v>
      </c>
      <c r="F274" s="14">
        <v>974</v>
      </c>
      <c r="G274" s="15">
        <v>94.82</v>
      </c>
      <c r="H274" s="16">
        <v>4.6780666847760041E-2</v>
      </c>
      <c r="I274" s="16">
        <v>2.2942766348853599E-2</v>
      </c>
      <c r="J274" s="15">
        <v>66.23</v>
      </c>
      <c r="K274" s="14">
        <v>86</v>
      </c>
      <c r="L274" s="14">
        <v>5</v>
      </c>
      <c r="M274" s="15">
        <v>5.42</v>
      </c>
      <c r="N274" s="17">
        <v>92354.68</v>
      </c>
      <c r="O274" s="17">
        <v>4320.413516911487</v>
      </c>
      <c r="P274" s="17">
        <v>2019.749606614213</v>
      </c>
      <c r="Q274" s="17">
        <v>86014.516876474285</v>
      </c>
      <c r="R274" s="17">
        <v>64508.02</v>
      </c>
      <c r="S274" s="17">
        <v>21506.496876474281</v>
      </c>
      <c r="T274" s="17">
        <v>27.1</v>
      </c>
    </row>
    <row r="275" spans="1:20" x14ac:dyDescent="0.3">
      <c r="A275" s="13">
        <v>45230</v>
      </c>
      <c r="B275" s="7" t="s">
        <v>111</v>
      </c>
      <c r="C275" s="7" t="s">
        <v>29</v>
      </c>
      <c r="D275" s="7" t="s">
        <v>103</v>
      </c>
      <c r="E275" s="7" t="s">
        <v>25</v>
      </c>
      <c r="F275" s="14">
        <v>2611</v>
      </c>
      <c r="G275" s="15">
        <v>209.9</v>
      </c>
      <c r="H275" s="16">
        <v>7.4471815665026878E-2</v>
      </c>
      <c r="I275" s="16">
        <v>4.0191477774157533E-2</v>
      </c>
      <c r="J275" s="15">
        <v>116.96</v>
      </c>
      <c r="K275" s="14">
        <v>1703</v>
      </c>
      <c r="L275" s="14">
        <v>655</v>
      </c>
      <c r="M275" s="15">
        <v>34.81</v>
      </c>
      <c r="N275" s="17">
        <v>548048.9</v>
      </c>
      <c r="O275" s="17">
        <v>40814.196656220753</v>
      </c>
      <c r="P275" s="17">
        <v>20386.512305722888</v>
      </c>
      <c r="Q275" s="17">
        <v>486848.19103805639</v>
      </c>
      <c r="R275" s="17">
        <v>305382.56</v>
      </c>
      <c r="S275" s="17">
        <v>181465.6310380564</v>
      </c>
      <c r="T275" s="17">
        <v>22800.55</v>
      </c>
    </row>
    <row r="276" spans="1:20" x14ac:dyDescent="0.3">
      <c r="A276" s="13">
        <v>45230</v>
      </c>
      <c r="B276" s="7" t="s">
        <v>111</v>
      </c>
      <c r="C276" s="7" t="s">
        <v>29</v>
      </c>
      <c r="D276" s="7" t="s">
        <v>103</v>
      </c>
      <c r="E276" s="7" t="s">
        <v>28</v>
      </c>
      <c r="F276" s="14">
        <v>1141</v>
      </c>
      <c r="G276" s="15">
        <v>194.14</v>
      </c>
      <c r="H276" s="16">
        <v>8.5653454347729849E-2</v>
      </c>
      <c r="I276" s="16">
        <v>6.7086094168205657E-2</v>
      </c>
      <c r="J276" s="15">
        <v>124.57</v>
      </c>
      <c r="K276" s="14">
        <v>944</v>
      </c>
      <c r="L276" s="14">
        <v>295</v>
      </c>
      <c r="M276" s="15">
        <v>19.149999999999999</v>
      </c>
      <c r="N276" s="17">
        <v>221513.74</v>
      </c>
      <c r="O276" s="17">
        <v>18973.417016484898</v>
      </c>
      <c r="P276" s="17">
        <v>13587.639180530879</v>
      </c>
      <c r="Q276" s="17">
        <v>188952.68380298419</v>
      </c>
      <c r="R276" s="17">
        <v>142134.37</v>
      </c>
      <c r="S276" s="17">
        <v>46818.313802984223</v>
      </c>
      <c r="T276" s="17">
        <v>5649.25</v>
      </c>
    </row>
    <row r="277" spans="1:20" x14ac:dyDescent="0.3">
      <c r="A277" s="13">
        <v>45230</v>
      </c>
      <c r="B277" s="7" t="s">
        <v>111</v>
      </c>
      <c r="C277" s="7" t="s">
        <v>29</v>
      </c>
      <c r="D277" s="7" t="s">
        <v>103</v>
      </c>
      <c r="E277" s="7" t="s">
        <v>30</v>
      </c>
      <c r="F277" s="14">
        <v>623</v>
      </c>
      <c r="G277" s="15">
        <v>177.66</v>
      </c>
      <c r="H277" s="16">
        <v>5.6617497967425573E-2</v>
      </c>
      <c r="I277" s="16">
        <v>1.7739548335834601E-2</v>
      </c>
      <c r="J277" s="15">
        <v>117.57</v>
      </c>
      <c r="K277" s="14">
        <v>52</v>
      </c>
      <c r="L277" s="14">
        <v>3</v>
      </c>
      <c r="M277" s="15">
        <v>5.24</v>
      </c>
      <c r="N277" s="17">
        <v>110682.18</v>
      </c>
      <c r="O277" s="17">
        <v>6266.5481011802312</v>
      </c>
      <c r="P277" s="17">
        <v>1852.2861490858261</v>
      </c>
      <c r="Q277" s="17">
        <v>102563.3457497339</v>
      </c>
      <c r="R277" s="17">
        <v>73246.11</v>
      </c>
      <c r="S277" s="17">
        <v>29317.23574973394</v>
      </c>
      <c r="T277" s="17">
        <v>15.72</v>
      </c>
    </row>
    <row r="278" spans="1:20" x14ac:dyDescent="0.3">
      <c r="A278" s="13">
        <v>45230</v>
      </c>
      <c r="B278" s="7" t="s">
        <v>111</v>
      </c>
      <c r="C278" s="7" t="s">
        <v>29</v>
      </c>
      <c r="D278" s="7" t="s">
        <v>104</v>
      </c>
      <c r="E278" s="7" t="s">
        <v>25</v>
      </c>
      <c r="F278" s="14">
        <v>1341</v>
      </c>
      <c r="G278" s="15">
        <v>43.39</v>
      </c>
      <c r="H278" s="16">
        <v>6.6237428403777165E-2</v>
      </c>
      <c r="I278" s="16">
        <v>3.3524581943648407E-2</v>
      </c>
      <c r="J278" s="15">
        <v>22.35</v>
      </c>
      <c r="K278" s="14">
        <v>922</v>
      </c>
      <c r="L278" s="14">
        <v>394</v>
      </c>
      <c r="M278" s="15">
        <v>30.96</v>
      </c>
      <c r="N278" s="17">
        <v>58185.99</v>
      </c>
      <c r="O278" s="17">
        <v>3854.090346727894</v>
      </c>
      <c r="P278" s="17">
        <v>1821.4542220802041</v>
      </c>
      <c r="Q278" s="17">
        <v>52510.445431191903</v>
      </c>
      <c r="R278" s="17">
        <v>29971.35</v>
      </c>
      <c r="S278" s="17">
        <v>22539.095431191901</v>
      </c>
      <c r="T278" s="17">
        <v>12198.24</v>
      </c>
    </row>
    <row r="279" spans="1:20" x14ac:dyDescent="0.3">
      <c r="A279" s="13">
        <v>45230</v>
      </c>
      <c r="B279" s="7" t="s">
        <v>111</v>
      </c>
      <c r="C279" s="7" t="s">
        <v>29</v>
      </c>
      <c r="D279" s="7" t="s">
        <v>104</v>
      </c>
      <c r="E279" s="7" t="s">
        <v>28</v>
      </c>
      <c r="F279" s="14">
        <v>587</v>
      </c>
      <c r="G279" s="15">
        <v>40.42</v>
      </c>
      <c r="H279" s="16">
        <v>7.2001900729590756E-2</v>
      </c>
      <c r="I279" s="16">
        <v>7.5112705347553835E-2</v>
      </c>
      <c r="J279" s="15">
        <v>21.41</v>
      </c>
      <c r="K279" s="14">
        <v>515</v>
      </c>
      <c r="L279" s="14">
        <v>168</v>
      </c>
      <c r="M279" s="15">
        <v>20.56</v>
      </c>
      <c r="N279" s="17">
        <v>23726.54</v>
      </c>
      <c r="O279" s="17">
        <v>1708.355977736664</v>
      </c>
      <c r="P279" s="17">
        <v>1653.8453687524841</v>
      </c>
      <c r="Q279" s="17">
        <v>20364.338653510851</v>
      </c>
      <c r="R279" s="17">
        <v>12567.67</v>
      </c>
      <c r="S279" s="17">
        <v>7796.6686535108511</v>
      </c>
      <c r="T279" s="17">
        <v>3454.08</v>
      </c>
    </row>
    <row r="280" spans="1:20" x14ac:dyDescent="0.3">
      <c r="A280" s="13">
        <v>45230</v>
      </c>
      <c r="B280" s="7" t="s">
        <v>111</v>
      </c>
      <c r="C280" s="7" t="s">
        <v>29</v>
      </c>
      <c r="D280" s="7" t="s">
        <v>104</v>
      </c>
      <c r="E280" s="7" t="s">
        <v>30</v>
      </c>
      <c r="F280" s="14">
        <v>370</v>
      </c>
      <c r="G280" s="15">
        <v>36.450000000000003</v>
      </c>
      <c r="H280" s="16">
        <v>5.0107048008773261E-2</v>
      </c>
      <c r="I280" s="16">
        <v>1.5230302903016781E-2</v>
      </c>
      <c r="J280" s="15">
        <v>21.6</v>
      </c>
      <c r="K280" s="14">
        <v>32</v>
      </c>
      <c r="L280" s="14">
        <v>2</v>
      </c>
      <c r="M280" s="15">
        <v>5.62</v>
      </c>
      <c r="N280" s="17">
        <v>13486.5</v>
      </c>
      <c r="O280" s="17">
        <v>675.76870297032065</v>
      </c>
      <c r="P280" s="17">
        <v>195.111318062919</v>
      </c>
      <c r="Q280" s="17">
        <v>12615.619978966761</v>
      </c>
      <c r="R280" s="17">
        <v>7992.0000000000009</v>
      </c>
      <c r="S280" s="17">
        <v>4623.6199789667617</v>
      </c>
      <c r="T280" s="17">
        <v>11.24</v>
      </c>
    </row>
    <row r="281" spans="1:20" x14ac:dyDescent="0.3">
      <c r="A281" s="13">
        <v>45230</v>
      </c>
      <c r="B281" s="7" t="s">
        <v>111</v>
      </c>
      <c r="C281" s="7" t="s">
        <v>31</v>
      </c>
      <c r="D281" s="7" t="s">
        <v>102</v>
      </c>
      <c r="E281" s="7" t="s">
        <v>25</v>
      </c>
      <c r="F281" s="14">
        <v>1849</v>
      </c>
      <c r="G281" s="15">
        <v>103.62</v>
      </c>
      <c r="H281" s="16">
        <v>8.6980732037170536E-2</v>
      </c>
      <c r="I281" s="16">
        <v>4.104355937523213E-2</v>
      </c>
      <c r="J281" s="15">
        <v>65.62</v>
      </c>
      <c r="K281" s="14">
        <v>1305</v>
      </c>
      <c r="L281" s="14">
        <v>555</v>
      </c>
      <c r="M281" s="15">
        <v>24.34</v>
      </c>
      <c r="N281" s="17">
        <v>191593.38</v>
      </c>
      <c r="O281" s="17">
        <v>16664.932445875791</v>
      </c>
      <c r="P281" s="17">
        <v>7179.6861236048771</v>
      </c>
      <c r="Q281" s="17">
        <v>167748.76143051931</v>
      </c>
      <c r="R281" s="17">
        <v>121331.38</v>
      </c>
      <c r="S281" s="17">
        <v>46417.381430519337</v>
      </c>
      <c r="T281" s="17">
        <v>13508.7</v>
      </c>
    </row>
    <row r="282" spans="1:20" x14ac:dyDescent="0.3">
      <c r="A282" s="13">
        <v>45230</v>
      </c>
      <c r="B282" s="7" t="s">
        <v>111</v>
      </c>
      <c r="C282" s="7" t="s">
        <v>31</v>
      </c>
      <c r="D282" s="7" t="s">
        <v>102</v>
      </c>
      <c r="E282" s="7" t="s">
        <v>28</v>
      </c>
      <c r="F282" s="14">
        <v>797</v>
      </c>
      <c r="G282" s="15">
        <v>105.2</v>
      </c>
      <c r="H282" s="16">
        <v>7.8232364649226616E-2</v>
      </c>
      <c r="I282" s="16">
        <v>5.9818665782309183E-2</v>
      </c>
      <c r="J282" s="15">
        <v>64.900000000000006</v>
      </c>
      <c r="K282" s="14">
        <v>689</v>
      </c>
      <c r="L282" s="14">
        <v>205</v>
      </c>
      <c r="M282" s="15">
        <v>19.18</v>
      </c>
      <c r="N282" s="17">
        <v>83844.400000000009</v>
      </c>
      <c r="O282" s="17">
        <v>6559.3456745956164</v>
      </c>
      <c r="P282" s="17">
        <v>4623.0888346589736</v>
      </c>
      <c r="Q282" s="17">
        <v>72661.96549074541</v>
      </c>
      <c r="R282" s="17">
        <v>51725.3</v>
      </c>
      <c r="S282" s="17">
        <v>20936.66549074541</v>
      </c>
      <c r="T282" s="17">
        <v>3931.9</v>
      </c>
    </row>
    <row r="283" spans="1:20" x14ac:dyDescent="0.3">
      <c r="A283" s="13">
        <v>45230</v>
      </c>
      <c r="B283" s="7" t="s">
        <v>111</v>
      </c>
      <c r="C283" s="7" t="s">
        <v>31</v>
      </c>
      <c r="D283" s="7" t="s">
        <v>102</v>
      </c>
      <c r="E283" s="7" t="s">
        <v>30</v>
      </c>
      <c r="F283" s="14">
        <v>774</v>
      </c>
      <c r="G283" s="15">
        <v>88.87</v>
      </c>
      <c r="H283" s="16">
        <v>5.3275539138001322E-2</v>
      </c>
      <c r="I283" s="16">
        <v>2.2021473774808491E-2</v>
      </c>
      <c r="J283" s="15">
        <v>69.94</v>
      </c>
      <c r="K283" s="14">
        <v>63</v>
      </c>
      <c r="L283" s="14">
        <v>3</v>
      </c>
      <c r="M283" s="15">
        <v>4.04</v>
      </c>
      <c r="N283" s="17">
        <v>68785.38</v>
      </c>
      <c r="O283" s="17">
        <v>3664.5782043122931</v>
      </c>
      <c r="P283" s="17">
        <v>1434.0560289382379</v>
      </c>
      <c r="Q283" s="17">
        <v>63686.745766749467</v>
      </c>
      <c r="R283" s="17">
        <v>54133.56</v>
      </c>
      <c r="S283" s="17">
        <v>9553.1857667494696</v>
      </c>
      <c r="T283" s="17">
        <v>12.12</v>
      </c>
    </row>
    <row r="284" spans="1:20" x14ac:dyDescent="0.3">
      <c r="A284" s="13">
        <v>45230</v>
      </c>
      <c r="B284" s="7" t="s">
        <v>111</v>
      </c>
      <c r="C284" s="7" t="s">
        <v>31</v>
      </c>
      <c r="D284" s="7" t="s">
        <v>103</v>
      </c>
      <c r="E284" s="7" t="s">
        <v>25</v>
      </c>
      <c r="F284" s="14">
        <v>932</v>
      </c>
      <c r="G284" s="15">
        <v>199.28</v>
      </c>
      <c r="H284" s="16">
        <v>6.4706111774419442E-2</v>
      </c>
      <c r="I284" s="16">
        <v>3.9184773268983543E-2</v>
      </c>
      <c r="J284" s="15">
        <v>116.81</v>
      </c>
      <c r="K284" s="14">
        <v>673</v>
      </c>
      <c r="L284" s="14">
        <v>228</v>
      </c>
      <c r="M284" s="15">
        <v>29.19</v>
      </c>
      <c r="N284" s="17">
        <v>185728.96</v>
      </c>
      <c r="O284" s="17">
        <v>12017.798845506681</v>
      </c>
      <c r="P284" s="17">
        <v>6806.8324641306817</v>
      </c>
      <c r="Q284" s="17">
        <v>166904.3286903626</v>
      </c>
      <c r="R284" s="17">
        <v>108866.92</v>
      </c>
      <c r="S284" s="17">
        <v>58037.40869036263</v>
      </c>
      <c r="T284" s="17">
        <v>6655.3200000000006</v>
      </c>
    </row>
    <row r="285" spans="1:20" x14ac:dyDescent="0.3">
      <c r="A285" s="13">
        <v>45230</v>
      </c>
      <c r="B285" s="7" t="s">
        <v>111</v>
      </c>
      <c r="C285" s="7" t="s">
        <v>31</v>
      </c>
      <c r="D285" s="7" t="s">
        <v>103</v>
      </c>
      <c r="E285" s="7" t="s">
        <v>28</v>
      </c>
      <c r="F285" s="14">
        <v>332</v>
      </c>
      <c r="G285" s="15">
        <v>180.8</v>
      </c>
      <c r="H285" s="16">
        <v>0.1101905992443475</v>
      </c>
      <c r="I285" s="16">
        <v>4.276808947262016E-2</v>
      </c>
      <c r="J285" s="15">
        <v>117.92</v>
      </c>
      <c r="K285" s="14">
        <v>277</v>
      </c>
      <c r="L285" s="14">
        <v>78</v>
      </c>
      <c r="M285" s="15">
        <v>19.5</v>
      </c>
      <c r="N285" s="17">
        <v>60025.600000000013</v>
      </c>
      <c r="O285" s="17">
        <v>6614.2568340015087</v>
      </c>
      <c r="P285" s="17">
        <v>2284.3011033762432</v>
      </c>
      <c r="Q285" s="17">
        <v>51127.042062622248</v>
      </c>
      <c r="R285" s="17">
        <v>39149.440000000002</v>
      </c>
      <c r="S285" s="17">
        <v>11977.602062622251</v>
      </c>
      <c r="T285" s="17">
        <v>1521</v>
      </c>
    </row>
    <row r="286" spans="1:20" x14ac:dyDescent="0.3">
      <c r="A286" s="13">
        <v>45230</v>
      </c>
      <c r="B286" s="7" t="s">
        <v>111</v>
      </c>
      <c r="C286" s="7" t="s">
        <v>31</v>
      </c>
      <c r="D286" s="7" t="s">
        <v>103</v>
      </c>
      <c r="E286" s="7" t="s">
        <v>30</v>
      </c>
      <c r="F286" s="14">
        <v>220</v>
      </c>
      <c r="G286" s="15">
        <v>158.13999999999999</v>
      </c>
      <c r="H286" s="16">
        <v>4.6516968032679601E-2</v>
      </c>
      <c r="I286" s="16">
        <v>2.2310304466259478E-2</v>
      </c>
      <c r="J286" s="15">
        <v>118.32</v>
      </c>
      <c r="K286" s="14">
        <v>18</v>
      </c>
      <c r="L286" s="14">
        <v>1</v>
      </c>
      <c r="M286" s="15">
        <v>4.7699999999999996</v>
      </c>
      <c r="N286" s="17">
        <v>34790.800000000003</v>
      </c>
      <c r="O286" s="17">
        <v>1618.362531431349</v>
      </c>
      <c r="P286" s="17">
        <v>740.08717981172049</v>
      </c>
      <c r="Q286" s="17">
        <v>32432.35028875693</v>
      </c>
      <c r="R286" s="17">
        <v>26030.400000000001</v>
      </c>
      <c r="S286" s="17">
        <v>6401.9502887569288</v>
      </c>
      <c r="T286" s="17">
        <v>4.7699999999999996</v>
      </c>
    </row>
    <row r="287" spans="1:20" x14ac:dyDescent="0.3">
      <c r="A287" s="13">
        <v>45230</v>
      </c>
      <c r="B287" s="7" t="s">
        <v>111</v>
      </c>
      <c r="C287" s="7" t="s">
        <v>31</v>
      </c>
      <c r="D287" s="7" t="s">
        <v>104</v>
      </c>
      <c r="E287" s="7" t="s">
        <v>25</v>
      </c>
      <c r="F287" s="14">
        <v>592</v>
      </c>
      <c r="G287" s="15">
        <v>41.43</v>
      </c>
      <c r="H287" s="16">
        <v>7.0895840496932747E-2</v>
      </c>
      <c r="I287" s="16">
        <v>3.1917342783590742E-2</v>
      </c>
      <c r="J287" s="15">
        <v>20.67</v>
      </c>
      <c r="K287" s="14">
        <v>432</v>
      </c>
      <c r="L287" s="14">
        <v>181</v>
      </c>
      <c r="M287" s="15">
        <v>35.01</v>
      </c>
      <c r="N287" s="17">
        <v>24526.560000000001</v>
      </c>
      <c r="O287" s="17">
        <v>1738.831085698451</v>
      </c>
      <c r="P287" s="17">
        <v>727.32375501730473</v>
      </c>
      <c r="Q287" s="17">
        <v>22060.405159284252</v>
      </c>
      <c r="R287" s="17">
        <v>12236.64</v>
      </c>
      <c r="S287" s="17">
        <v>9823.7651592842467</v>
      </c>
      <c r="T287" s="17">
        <v>6336.8099999999986</v>
      </c>
    </row>
    <row r="288" spans="1:20" x14ac:dyDescent="0.3">
      <c r="A288" s="13">
        <v>45230</v>
      </c>
      <c r="B288" s="7" t="s">
        <v>111</v>
      </c>
      <c r="C288" s="7" t="s">
        <v>31</v>
      </c>
      <c r="D288" s="7" t="s">
        <v>104</v>
      </c>
      <c r="E288" s="7" t="s">
        <v>28</v>
      </c>
      <c r="F288" s="14">
        <v>323</v>
      </c>
      <c r="G288" s="15">
        <v>36.58</v>
      </c>
      <c r="H288" s="16">
        <v>0.1157792142658438</v>
      </c>
      <c r="I288" s="16">
        <v>4.5029090590283802E-2</v>
      </c>
      <c r="J288" s="15">
        <v>20.95</v>
      </c>
      <c r="K288" s="14">
        <v>284</v>
      </c>
      <c r="L288" s="14">
        <v>89</v>
      </c>
      <c r="M288" s="15">
        <v>18.809999999999999</v>
      </c>
      <c r="N288" s="17">
        <v>11815.34</v>
      </c>
      <c r="O288" s="17">
        <v>1367.9707814837941</v>
      </c>
      <c r="P288" s="17">
        <v>470.43553497070872</v>
      </c>
      <c r="Q288" s="17">
        <v>9976.933683545496</v>
      </c>
      <c r="R288" s="17">
        <v>6766.8499999999995</v>
      </c>
      <c r="S288" s="17">
        <v>3210.083683545497</v>
      </c>
      <c r="T288" s="17">
        <v>1674.09</v>
      </c>
    </row>
    <row r="289" spans="1:20" x14ac:dyDescent="0.3">
      <c r="A289" s="13">
        <v>45230</v>
      </c>
      <c r="B289" s="7" t="s">
        <v>111</v>
      </c>
      <c r="C289" s="7" t="s">
        <v>31</v>
      </c>
      <c r="D289" s="7" t="s">
        <v>104</v>
      </c>
      <c r="E289" s="7" t="s">
        <v>30</v>
      </c>
      <c r="F289" s="14">
        <v>343</v>
      </c>
      <c r="G289" s="15">
        <v>33.01</v>
      </c>
      <c r="H289" s="16">
        <v>5.4008792363604133E-2</v>
      </c>
      <c r="I289" s="16">
        <v>2.443827712936918E-2</v>
      </c>
      <c r="J289" s="15">
        <v>20.99</v>
      </c>
      <c r="K289" s="14">
        <v>32</v>
      </c>
      <c r="L289" s="14">
        <v>2</v>
      </c>
      <c r="M289" s="15">
        <v>6.62</v>
      </c>
      <c r="N289" s="17">
        <v>11322.43</v>
      </c>
      <c r="O289" s="17">
        <v>611.51077092144226</v>
      </c>
      <c r="P289" s="17">
        <v>261.75641243051109</v>
      </c>
      <c r="Q289" s="17">
        <v>10449.16281664804</v>
      </c>
      <c r="R289" s="17">
        <v>7199.57</v>
      </c>
      <c r="S289" s="17">
        <v>3249.5928166480439</v>
      </c>
      <c r="T289" s="17">
        <v>13.24</v>
      </c>
    </row>
    <row r="290" spans="1:20" x14ac:dyDescent="0.3">
      <c r="A290" s="13">
        <v>45260</v>
      </c>
      <c r="B290" s="7" t="s">
        <v>112</v>
      </c>
      <c r="C290" s="7" t="s">
        <v>24</v>
      </c>
      <c r="D290" s="7" t="s">
        <v>102</v>
      </c>
      <c r="E290" s="7" t="s">
        <v>25</v>
      </c>
      <c r="F290" s="14">
        <v>9333</v>
      </c>
      <c r="G290" s="15">
        <v>125.49</v>
      </c>
      <c r="H290" s="16">
        <v>8.1667081981616541E-2</v>
      </c>
      <c r="I290" s="16">
        <v>3.4416982460539702E-2</v>
      </c>
      <c r="J290" s="15">
        <v>68.78</v>
      </c>
      <c r="K290" s="14">
        <v>6608</v>
      </c>
      <c r="L290" s="14">
        <v>2575</v>
      </c>
      <c r="M290" s="15">
        <v>34.53</v>
      </c>
      <c r="N290" s="17">
        <v>1171198.17</v>
      </c>
      <c r="O290" s="17">
        <v>95648.336966109258</v>
      </c>
      <c r="P290" s="17">
        <v>37017.179738963823</v>
      </c>
      <c r="Q290" s="17">
        <v>1038532.653294927</v>
      </c>
      <c r="R290" s="17">
        <v>641923.74</v>
      </c>
      <c r="S290" s="17">
        <v>396608.91329492693</v>
      </c>
      <c r="T290" s="17">
        <v>88914.75</v>
      </c>
    </row>
    <row r="291" spans="1:20" x14ac:dyDescent="0.3">
      <c r="A291" s="13">
        <v>45260</v>
      </c>
      <c r="B291" s="7" t="s">
        <v>112</v>
      </c>
      <c r="C291" s="7" t="s">
        <v>24</v>
      </c>
      <c r="D291" s="7" t="s">
        <v>102</v>
      </c>
      <c r="E291" s="7" t="s">
        <v>28</v>
      </c>
      <c r="F291" s="14">
        <v>4462</v>
      </c>
      <c r="G291" s="15">
        <v>115.52</v>
      </c>
      <c r="H291" s="16">
        <v>0.1320373498006652</v>
      </c>
      <c r="I291" s="16">
        <v>4.3624486857910282E-2</v>
      </c>
      <c r="J291" s="15">
        <v>70.3</v>
      </c>
      <c r="K291" s="14">
        <v>3786</v>
      </c>
      <c r="L291" s="14">
        <v>1250</v>
      </c>
      <c r="M291" s="15">
        <v>20.25</v>
      </c>
      <c r="N291" s="17">
        <v>515450.24</v>
      </c>
      <c r="O291" s="17">
        <v>68058.683643716839</v>
      </c>
      <c r="P291" s="17">
        <v>19517.227070604698</v>
      </c>
      <c r="Q291" s="17">
        <v>427874.32928567851</v>
      </c>
      <c r="R291" s="17">
        <v>313678.59999999998</v>
      </c>
      <c r="S291" s="17">
        <v>114195.72928567851</v>
      </c>
      <c r="T291" s="17">
        <v>25312.5</v>
      </c>
    </row>
    <row r="292" spans="1:20" x14ac:dyDescent="0.3">
      <c r="A292" s="13">
        <v>45260</v>
      </c>
      <c r="B292" s="7" t="s">
        <v>112</v>
      </c>
      <c r="C292" s="7" t="s">
        <v>24</v>
      </c>
      <c r="D292" s="7" t="s">
        <v>102</v>
      </c>
      <c r="E292" s="7" t="s">
        <v>30</v>
      </c>
      <c r="F292" s="14">
        <v>3615</v>
      </c>
      <c r="G292" s="15">
        <v>96.96</v>
      </c>
      <c r="H292" s="16">
        <v>6.6251193391530599E-2</v>
      </c>
      <c r="I292" s="16">
        <v>2.4451915817598931E-2</v>
      </c>
      <c r="J292" s="15">
        <v>72.36</v>
      </c>
      <c r="K292" s="14">
        <v>298</v>
      </c>
      <c r="L292" s="14">
        <v>18</v>
      </c>
      <c r="M292" s="15">
        <v>5.45</v>
      </c>
      <c r="N292" s="17">
        <v>350510.4</v>
      </c>
      <c r="O292" s="17">
        <v>23221.732296142749</v>
      </c>
      <c r="P292" s="17">
        <v>8002.8349507488274</v>
      </c>
      <c r="Q292" s="17">
        <v>319285.83275310841</v>
      </c>
      <c r="R292" s="17">
        <v>261581.4</v>
      </c>
      <c r="S292" s="17">
        <v>57704.432753108413</v>
      </c>
      <c r="T292" s="17">
        <v>98.100000000000009</v>
      </c>
    </row>
    <row r="293" spans="1:20" x14ac:dyDescent="0.3">
      <c r="A293" s="13">
        <v>45260</v>
      </c>
      <c r="B293" s="7" t="s">
        <v>112</v>
      </c>
      <c r="C293" s="7" t="s">
        <v>24</v>
      </c>
      <c r="D293" s="7" t="s">
        <v>103</v>
      </c>
      <c r="E293" s="7" t="s">
        <v>25</v>
      </c>
      <c r="F293" s="14">
        <v>3914</v>
      </c>
      <c r="G293" s="15">
        <v>229.27</v>
      </c>
      <c r="H293" s="16">
        <v>9.5683134749256743E-2</v>
      </c>
      <c r="I293" s="16">
        <v>4.4920188479927993E-2</v>
      </c>
      <c r="J293" s="15">
        <v>120.01</v>
      </c>
      <c r="K293" s="14">
        <v>2700</v>
      </c>
      <c r="L293" s="14">
        <v>985</v>
      </c>
      <c r="M293" s="15">
        <v>19.600000000000001</v>
      </c>
      <c r="N293" s="17">
        <v>897362.78</v>
      </c>
      <c r="O293" s="17">
        <v>85862.483797707639</v>
      </c>
      <c r="P293" s="17">
        <v>36452.746256924373</v>
      </c>
      <c r="Q293" s="17">
        <v>775047.54994536808</v>
      </c>
      <c r="R293" s="17">
        <v>469719.14</v>
      </c>
      <c r="S293" s="17">
        <v>305328.40994536813</v>
      </c>
      <c r="T293" s="17">
        <v>19306</v>
      </c>
    </row>
    <row r="294" spans="1:20" x14ac:dyDescent="0.3">
      <c r="A294" s="13">
        <v>45260</v>
      </c>
      <c r="B294" s="7" t="s">
        <v>112</v>
      </c>
      <c r="C294" s="7" t="s">
        <v>24</v>
      </c>
      <c r="D294" s="7" t="s">
        <v>103</v>
      </c>
      <c r="E294" s="7" t="s">
        <v>28</v>
      </c>
      <c r="F294" s="14">
        <v>2148</v>
      </c>
      <c r="G294" s="15">
        <v>215.49</v>
      </c>
      <c r="H294" s="16">
        <v>0.11294377248145571</v>
      </c>
      <c r="I294" s="16">
        <v>7.5899045760699321E-2</v>
      </c>
      <c r="J294" s="15">
        <v>124.19</v>
      </c>
      <c r="K294" s="14">
        <v>1756</v>
      </c>
      <c r="L294" s="14">
        <v>500</v>
      </c>
      <c r="M294" s="15">
        <v>20.21</v>
      </c>
      <c r="N294" s="17">
        <v>462872.52</v>
      </c>
      <c r="O294" s="17">
        <v>52278.568586798043</v>
      </c>
      <c r="P294" s="17">
        <v>31163.689107376969</v>
      </c>
      <c r="Q294" s="17">
        <v>379430.26230582502</v>
      </c>
      <c r="R294" s="17">
        <v>266760.12</v>
      </c>
      <c r="S294" s="17">
        <v>112670.14230582499</v>
      </c>
      <c r="T294" s="17">
        <v>10105</v>
      </c>
    </row>
    <row r="295" spans="1:20" x14ac:dyDescent="0.3">
      <c r="A295" s="13">
        <v>45260</v>
      </c>
      <c r="B295" s="7" t="s">
        <v>112</v>
      </c>
      <c r="C295" s="7" t="s">
        <v>24</v>
      </c>
      <c r="D295" s="7" t="s">
        <v>103</v>
      </c>
      <c r="E295" s="7" t="s">
        <v>30</v>
      </c>
      <c r="F295" s="14">
        <v>1103</v>
      </c>
      <c r="G295" s="15">
        <v>183.07</v>
      </c>
      <c r="H295" s="16">
        <v>7.1505578907093637E-2</v>
      </c>
      <c r="I295" s="16">
        <v>1.11188238355084E-2</v>
      </c>
      <c r="J295" s="15">
        <v>123.43</v>
      </c>
      <c r="K295" s="14">
        <v>96</v>
      </c>
      <c r="L295" s="14">
        <v>6</v>
      </c>
      <c r="M295" s="15">
        <v>4.07</v>
      </c>
      <c r="N295" s="17">
        <v>201926.21</v>
      </c>
      <c r="O295" s="17">
        <v>14438.85054256536</v>
      </c>
      <c r="P295" s="17">
        <v>2084.6389211918549</v>
      </c>
      <c r="Q295" s="17">
        <v>185402.72053624279</v>
      </c>
      <c r="R295" s="17">
        <v>136143.29</v>
      </c>
      <c r="S295" s="17">
        <v>49259.430536242748</v>
      </c>
      <c r="T295" s="17">
        <v>24.42</v>
      </c>
    </row>
    <row r="296" spans="1:20" x14ac:dyDescent="0.3">
      <c r="A296" s="13">
        <v>45260</v>
      </c>
      <c r="B296" s="7" t="s">
        <v>112</v>
      </c>
      <c r="C296" s="7" t="s">
        <v>24</v>
      </c>
      <c r="D296" s="7" t="s">
        <v>104</v>
      </c>
      <c r="E296" s="7" t="s">
        <v>25</v>
      </c>
      <c r="F296" s="14">
        <v>2432</v>
      </c>
      <c r="G296" s="15">
        <v>45.37</v>
      </c>
      <c r="H296" s="16">
        <v>0.11070532408387269</v>
      </c>
      <c r="I296" s="16">
        <v>3.4641985369477019E-2</v>
      </c>
      <c r="J296" s="15">
        <v>21.21</v>
      </c>
      <c r="K296" s="14">
        <v>1575</v>
      </c>
      <c r="L296" s="14">
        <v>638</v>
      </c>
      <c r="M296" s="15">
        <v>25.57</v>
      </c>
      <c r="N296" s="17">
        <v>110339.84</v>
      </c>
      <c r="O296" s="17">
        <v>12215.207746562661</v>
      </c>
      <c r="P296" s="17">
        <v>3399.232074908889</v>
      </c>
      <c r="Q296" s="17">
        <v>94725.400178528449</v>
      </c>
      <c r="R296" s="17">
        <v>51582.720000000001</v>
      </c>
      <c r="S296" s="17">
        <v>43142.680178528448</v>
      </c>
      <c r="T296" s="17">
        <v>16313.66</v>
      </c>
    </row>
    <row r="297" spans="1:20" x14ac:dyDescent="0.3">
      <c r="A297" s="13">
        <v>45260</v>
      </c>
      <c r="B297" s="7" t="s">
        <v>112</v>
      </c>
      <c r="C297" s="7" t="s">
        <v>24</v>
      </c>
      <c r="D297" s="7" t="s">
        <v>104</v>
      </c>
      <c r="E297" s="7" t="s">
        <v>28</v>
      </c>
      <c r="F297" s="14">
        <v>1762</v>
      </c>
      <c r="G297" s="15">
        <v>43.5</v>
      </c>
      <c r="H297" s="16">
        <v>0.12903208925101581</v>
      </c>
      <c r="I297" s="16">
        <v>7.6760982238536904E-2</v>
      </c>
      <c r="J297" s="15">
        <v>23.33</v>
      </c>
      <c r="K297" s="14">
        <v>1459</v>
      </c>
      <c r="L297" s="14">
        <v>423</v>
      </c>
      <c r="M297" s="15">
        <v>16.829999999999998</v>
      </c>
      <c r="N297" s="17">
        <v>76647</v>
      </c>
      <c r="O297" s="17">
        <v>9889.922544822608</v>
      </c>
      <c r="P297" s="17">
        <v>5124.3388368335054</v>
      </c>
      <c r="Q297" s="17">
        <v>61632.738618343887</v>
      </c>
      <c r="R297" s="17">
        <v>41107.46</v>
      </c>
      <c r="S297" s="17">
        <v>20525.278618343891</v>
      </c>
      <c r="T297" s="17">
        <v>7119.0899999999992</v>
      </c>
    </row>
    <row r="298" spans="1:20" x14ac:dyDescent="0.3">
      <c r="A298" s="13">
        <v>45260</v>
      </c>
      <c r="B298" s="7" t="s">
        <v>112</v>
      </c>
      <c r="C298" s="7" t="s">
        <v>24</v>
      </c>
      <c r="D298" s="7" t="s">
        <v>104</v>
      </c>
      <c r="E298" s="7" t="s">
        <v>30</v>
      </c>
      <c r="F298" s="14">
        <v>889</v>
      </c>
      <c r="G298" s="15">
        <v>36.880000000000003</v>
      </c>
      <c r="H298" s="16">
        <v>5.994991539360206E-2</v>
      </c>
      <c r="I298" s="16">
        <v>2.1718939407749431E-2</v>
      </c>
      <c r="J298" s="15">
        <v>22.32</v>
      </c>
      <c r="K298" s="14">
        <v>73</v>
      </c>
      <c r="L298" s="14">
        <v>4</v>
      </c>
      <c r="M298" s="15">
        <v>5.03</v>
      </c>
      <c r="N298" s="17">
        <v>32786.32</v>
      </c>
      <c r="O298" s="17">
        <v>1965.5371100675629</v>
      </c>
      <c r="P298" s="17">
        <v>669.3947160858429</v>
      </c>
      <c r="Q298" s="17">
        <v>30151.38817384659</v>
      </c>
      <c r="R298" s="17">
        <v>19842.48</v>
      </c>
      <c r="S298" s="17">
        <v>10308.90817384659</v>
      </c>
      <c r="T298" s="17">
        <v>20.12</v>
      </c>
    </row>
    <row r="299" spans="1:20" x14ac:dyDescent="0.3">
      <c r="A299" s="13">
        <v>45260</v>
      </c>
      <c r="B299" s="7" t="s">
        <v>112</v>
      </c>
      <c r="C299" s="7" t="s">
        <v>27</v>
      </c>
      <c r="D299" s="7" t="s">
        <v>102</v>
      </c>
      <c r="E299" s="7" t="s">
        <v>25</v>
      </c>
      <c r="F299" s="14">
        <v>5211</v>
      </c>
      <c r="G299" s="15">
        <v>135.69999999999999</v>
      </c>
      <c r="H299" s="16">
        <v>0.10397586601877069</v>
      </c>
      <c r="I299" s="16">
        <v>2.1538121377619061E-2</v>
      </c>
      <c r="J299" s="15">
        <v>71.91</v>
      </c>
      <c r="K299" s="14">
        <v>3561</v>
      </c>
      <c r="L299" s="14">
        <v>1278</v>
      </c>
      <c r="M299" s="15">
        <v>23.38</v>
      </c>
      <c r="N299" s="17">
        <v>707132.7</v>
      </c>
      <c r="O299" s="17">
        <v>73524.734872691537</v>
      </c>
      <c r="P299" s="17">
        <v>13646.72525873819</v>
      </c>
      <c r="Q299" s="17">
        <v>619961.23986857024</v>
      </c>
      <c r="R299" s="17">
        <v>374723.01</v>
      </c>
      <c r="S299" s="17">
        <v>245238.2298685702</v>
      </c>
      <c r="T299" s="17">
        <v>29879.64</v>
      </c>
    </row>
    <row r="300" spans="1:20" x14ac:dyDescent="0.3">
      <c r="A300" s="13">
        <v>45260</v>
      </c>
      <c r="B300" s="7" t="s">
        <v>112</v>
      </c>
      <c r="C300" s="7" t="s">
        <v>27</v>
      </c>
      <c r="D300" s="7" t="s">
        <v>102</v>
      </c>
      <c r="E300" s="7" t="s">
        <v>28</v>
      </c>
      <c r="F300" s="14">
        <v>2415</v>
      </c>
      <c r="G300" s="15">
        <v>121.9</v>
      </c>
      <c r="H300" s="16">
        <v>0.101928767302533</v>
      </c>
      <c r="I300" s="16">
        <v>6.3109009940984145E-2</v>
      </c>
      <c r="J300" s="15">
        <v>74.13</v>
      </c>
      <c r="K300" s="14">
        <v>2006</v>
      </c>
      <c r="L300" s="14">
        <v>549</v>
      </c>
      <c r="M300" s="15">
        <v>15.66</v>
      </c>
      <c r="N300" s="17">
        <v>294388.5</v>
      </c>
      <c r="O300" s="17">
        <v>30006.656913041741</v>
      </c>
      <c r="P300" s="17">
        <v>16684.87636359056</v>
      </c>
      <c r="Q300" s="17">
        <v>247696.96672336769</v>
      </c>
      <c r="R300" s="17">
        <v>179023.95</v>
      </c>
      <c r="S300" s="17">
        <v>68673.016723367735</v>
      </c>
      <c r="T300" s="17">
        <v>8597.34</v>
      </c>
    </row>
    <row r="301" spans="1:20" x14ac:dyDescent="0.3">
      <c r="A301" s="13">
        <v>45260</v>
      </c>
      <c r="B301" s="7" t="s">
        <v>112</v>
      </c>
      <c r="C301" s="7" t="s">
        <v>27</v>
      </c>
      <c r="D301" s="7" t="s">
        <v>102</v>
      </c>
      <c r="E301" s="7" t="s">
        <v>30</v>
      </c>
      <c r="F301" s="14">
        <v>2242</v>
      </c>
      <c r="G301" s="15">
        <v>113.4</v>
      </c>
      <c r="H301" s="16">
        <v>8.4074841043798657E-2</v>
      </c>
      <c r="I301" s="16">
        <v>1.350209381536201E-2</v>
      </c>
      <c r="J301" s="15">
        <v>75.81</v>
      </c>
      <c r="K301" s="14">
        <v>183</v>
      </c>
      <c r="L301" s="14">
        <v>11</v>
      </c>
      <c r="M301" s="15">
        <v>5.73</v>
      </c>
      <c r="N301" s="17">
        <v>254242.8</v>
      </c>
      <c r="O301" s="17">
        <v>21375.422996530291</v>
      </c>
      <c r="P301" s="17">
        <v>3144.1971708381229</v>
      </c>
      <c r="Q301" s="17">
        <v>229723.17983263161</v>
      </c>
      <c r="R301" s="17">
        <v>169966.02</v>
      </c>
      <c r="S301" s="17">
        <v>59757.159832631587</v>
      </c>
      <c r="T301" s="17">
        <v>63.03</v>
      </c>
    </row>
    <row r="302" spans="1:20" x14ac:dyDescent="0.3">
      <c r="A302" s="13">
        <v>45260</v>
      </c>
      <c r="B302" s="7" t="s">
        <v>112</v>
      </c>
      <c r="C302" s="7" t="s">
        <v>27</v>
      </c>
      <c r="D302" s="7" t="s">
        <v>103</v>
      </c>
      <c r="E302" s="7" t="s">
        <v>25</v>
      </c>
      <c r="F302" s="14">
        <v>2208</v>
      </c>
      <c r="G302" s="15">
        <v>236.53</v>
      </c>
      <c r="H302" s="16">
        <v>7.7613711916307435E-2</v>
      </c>
      <c r="I302" s="16">
        <v>5.0176614668435031E-2</v>
      </c>
      <c r="J302" s="15">
        <v>127.84</v>
      </c>
      <c r="K302" s="14">
        <v>1573</v>
      </c>
      <c r="L302" s="14">
        <v>653</v>
      </c>
      <c r="M302" s="15">
        <v>35.18</v>
      </c>
      <c r="N302" s="17">
        <v>522258.24</v>
      </c>
      <c r="O302" s="17">
        <v>40534.400585277748</v>
      </c>
      <c r="P302" s="17">
        <v>24171.271466911589</v>
      </c>
      <c r="Q302" s="17">
        <v>457552.56794781057</v>
      </c>
      <c r="R302" s="17">
        <v>282270.71999999997</v>
      </c>
      <c r="S302" s="17">
        <v>175281.8479478106</v>
      </c>
      <c r="T302" s="17">
        <v>22972.54</v>
      </c>
    </row>
    <row r="303" spans="1:20" x14ac:dyDescent="0.3">
      <c r="A303" s="13">
        <v>45260</v>
      </c>
      <c r="B303" s="7" t="s">
        <v>112</v>
      </c>
      <c r="C303" s="7" t="s">
        <v>27</v>
      </c>
      <c r="D303" s="7" t="s">
        <v>103</v>
      </c>
      <c r="E303" s="7" t="s">
        <v>28</v>
      </c>
      <c r="F303" s="14">
        <v>1312</v>
      </c>
      <c r="G303" s="15">
        <v>234.75</v>
      </c>
      <c r="H303" s="16">
        <v>0.14105261986369991</v>
      </c>
      <c r="I303" s="16">
        <v>5.6559138838979582E-2</v>
      </c>
      <c r="J303" s="15">
        <v>126.65</v>
      </c>
      <c r="K303" s="14">
        <v>1110</v>
      </c>
      <c r="L303" s="14">
        <v>306</v>
      </c>
      <c r="M303" s="15">
        <v>13.04</v>
      </c>
      <c r="N303" s="17">
        <v>307992</v>
      </c>
      <c r="O303" s="17">
        <v>43443.078497060662</v>
      </c>
      <c r="P303" s="17">
        <v>14962.659180987061</v>
      </c>
      <c r="Q303" s="17">
        <v>249586.26232195229</v>
      </c>
      <c r="R303" s="17">
        <v>166164.79999999999</v>
      </c>
      <c r="S303" s="17">
        <v>83421.462321952247</v>
      </c>
      <c r="T303" s="17">
        <v>3990.24</v>
      </c>
    </row>
    <row r="304" spans="1:20" x14ac:dyDescent="0.3">
      <c r="A304" s="13">
        <v>45260</v>
      </c>
      <c r="B304" s="7" t="s">
        <v>112</v>
      </c>
      <c r="C304" s="7" t="s">
        <v>27</v>
      </c>
      <c r="D304" s="7" t="s">
        <v>103</v>
      </c>
      <c r="E304" s="7" t="s">
        <v>30</v>
      </c>
      <c r="F304" s="14">
        <v>1083</v>
      </c>
      <c r="G304" s="15">
        <v>205.17</v>
      </c>
      <c r="H304" s="16">
        <v>6.6492189074710634E-2</v>
      </c>
      <c r="I304" s="16">
        <v>2.2823029629468E-2</v>
      </c>
      <c r="J304" s="15">
        <v>122.93</v>
      </c>
      <c r="K304" s="14">
        <v>92</v>
      </c>
      <c r="L304" s="14">
        <v>5</v>
      </c>
      <c r="M304" s="15">
        <v>4.9800000000000004</v>
      </c>
      <c r="N304" s="17">
        <v>222199.11</v>
      </c>
      <c r="O304" s="17">
        <v>14774.505234352429</v>
      </c>
      <c r="P304" s="17">
        <v>4734.0579004470637</v>
      </c>
      <c r="Q304" s="17">
        <v>202690.54686520051</v>
      </c>
      <c r="R304" s="17">
        <v>133133.19</v>
      </c>
      <c r="S304" s="17">
        <v>69557.356865200505</v>
      </c>
      <c r="T304" s="17">
        <v>24.9</v>
      </c>
    </row>
    <row r="305" spans="1:20" x14ac:dyDescent="0.3">
      <c r="A305" s="13">
        <v>45260</v>
      </c>
      <c r="B305" s="7" t="s">
        <v>112</v>
      </c>
      <c r="C305" s="7" t="s">
        <v>27</v>
      </c>
      <c r="D305" s="7" t="s">
        <v>104</v>
      </c>
      <c r="E305" s="7" t="s">
        <v>25</v>
      </c>
      <c r="F305" s="14">
        <v>2105</v>
      </c>
      <c r="G305" s="15">
        <v>49.62</v>
      </c>
      <c r="H305" s="16">
        <v>0.10115163681446029</v>
      </c>
      <c r="I305" s="16">
        <v>3.5632357627617822E-2</v>
      </c>
      <c r="J305" s="15">
        <v>22.13</v>
      </c>
      <c r="K305" s="14">
        <v>1465</v>
      </c>
      <c r="L305" s="14">
        <v>544</v>
      </c>
      <c r="M305" s="15">
        <v>42.08</v>
      </c>
      <c r="N305" s="17">
        <v>104450.1</v>
      </c>
      <c r="O305" s="17">
        <v>10565.298580434061</v>
      </c>
      <c r="P305" s="17">
        <v>3345.3368199798551</v>
      </c>
      <c r="Q305" s="17">
        <v>90539.464599586077</v>
      </c>
      <c r="R305" s="17">
        <v>46583.65</v>
      </c>
      <c r="S305" s="17">
        <v>43955.814599586083</v>
      </c>
      <c r="T305" s="17">
        <v>22891.52</v>
      </c>
    </row>
    <row r="306" spans="1:20" x14ac:dyDescent="0.3">
      <c r="A306" s="13">
        <v>45260</v>
      </c>
      <c r="B306" s="7" t="s">
        <v>112</v>
      </c>
      <c r="C306" s="7" t="s">
        <v>27</v>
      </c>
      <c r="D306" s="7" t="s">
        <v>104</v>
      </c>
      <c r="E306" s="7" t="s">
        <v>28</v>
      </c>
      <c r="F306" s="14">
        <v>1266</v>
      </c>
      <c r="G306" s="15">
        <v>46.2</v>
      </c>
      <c r="H306" s="16">
        <v>0.1247427698759591</v>
      </c>
      <c r="I306" s="16">
        <v>6.4413361935202404E-2</v>
      </c>
      <c r="J306" s="15">
        <v>23.09</v>
      </c>
      <c r="K306" s="14">
        <v>1000</v>
      </c>
      <c r="L306" s="14">
        <v>312</v>
      </c>
      <c r="M306" s="15">
        <v>15.46</v>
      </c>
      <c r="N306" s="17">
        <v>58489.2</v>
      </c>
      <c r="O306" s="17">
        <v>7296.104815828945</v>
      </c>
      <c r="P306" s="17">
        <v>3297.5193686812781</v>
      </c>
      <c r="Q306" s="17">
        <v>47895.575815489778</v>
      </c>
      <c r="R306" s="17">
        <v>29231.94</v>
      </c>
      <c r="S306" s="17">
        <v>18663.63581548979</v>
      </c>
      <c r="T306" s="17">
        <v>4823.5200000000004</v>
      </c>
    </row>
    <row r="307" spans="1:20" x14ac:dyDescent="0.3">
      <c r="A307" s="13">
        <v>45260</v>
      </c>
      <c r="B307" s="7" t="s">
        <v>112</v>
      </c>
      <c r="C307" s="7" t="s">
        <v>27</v>
      </c>
      <c r="D307" s="7" t="s">
        <v>104</v>
      </c>
      <c r="E307" s="7" t="s">
        <v>30</v>
      </c>
      <c r="F307" s="14">
        <v>698</v>
      </c>
      <c r="G307" s="15">
        <v>40.75</v>
      </c>
      <c r="H307" s="16">
        <v>6.2484520114337111E-2</v>
      </c>
      <c r="I307" s="16">
        <v>2.3410260328563099E-2</v>
      </c>
      <c r="J307" s="15">
        <v>24.29</v>
      </c>
      <c r="K307" s="14">
        <v>56</v>
      </c>
      <c r="L307" s="14">
        <v>3</v>
      </c>
      <c r="M307" s="15">
        <v>4.4800000000000004</v>
      </c>
      <c r="N307" s="17">
        <v>28443.5</v>
      </c>
      <c r="O307" s="17">
        <v>1777.278447872148</v>
      </c>
      <c r="P307" s="17">
        <v>624.26318851445296</v>
      </c>
      <c r="Q307" s="17">
        <v>26041.958363613401</v>
      </c>
      <c r="R307" s="17">
        <v>16954.419999999998</v>
      </c>
      <c r="S307" s="17">
        <v>9087.5383636133993</v>
      </c>
      <c r="T307" s="17">
        <v>13.44</v>
      </c>
    </row>
    <row r="308" spans="1:20" x14ac:dyDescent="0.3">
      <c r="A308" s="13">
        <v>45260</v>
      </c>
      <c r="B308" s="7" t="s">
        <v>112</v>
      </c>
      <c r="C308" s="7" t="s">
        <v>29</v>
      </c>
      <c r="D308" s="7" t="s">
        <v>102</v>
      </c>
      <c r="E308" s="7" t="s">
        <v>25</v>
      </c>
      <c r="F308" s="14">
        <v>4900</v>
      </c>
      <c r="G308" s="15">
        <v>116.99</v>
      </c>
      <c r="H308" s="16">
        <v>0.1000262126478563</v>
      </c>
      <c r="I308" s="16">
        <v>4.4822489526806571E-2</v>
      </c>
      <c r="J308" s="15">
        <v>67.12</v>
      </c>
      <c r="K308" s="14">
        <v>3447</v>
      </c>
      <c r="L308" s="14">
        <v>1347</v>
      </c>
      <c r="M308" s="15">
        <v>37.01</v>
      </c>
      <c r="N308" s="17">
        <v>573251</v>
      </c>
      <c r="O308" s="17">
        <v>57340.126426596253</v>
      </c>
      <c r="P308" s="17">
        <v>23124.409727509519</v>
      </c>
      <c r="Q308" s="17">
        <v>492786.46384589421</v>
      </c>
      <c r="R308" s="17">
        <v>328888</v>
      </c>
      <c r="S308" s="17">
        <v>163898.46384589421</v>
      </c>
      <c r="T308" s="17">
        <v>49852.469999999987</v>
      </c>
    </row>
    <row r="309" spans="1:20" x14ac:dyDescent="0.3">
      <c r="A309" s="13">
        <v>45260</v>
      </c>
      <c r="B309" s="7" t="s">
        <v>112</v>
      </c>
      <c r="C309" s="7" t="s">
        <v>29</v>
      </c>
      <c r="D309" s="7" t="s">
        <v>102</v>
      </c>
      <c r="E309" s="7" t="s">
        <v>28</v>
      </c>
      <c r="F309" s="14">
        <v>2503</v>
      </c>
      <c r="G309" s="15">
        <v>111.63</v>
      </c>
      <c r="H309" s="16">
        <v>0.1162323512475715</v>
      </c>
      <c r="I309" s="16">
        <v>7.6094670716490176E-2</v>
      </c>
      <c r="J309" s="15">
        <v>74.650000000000006</v>
      </c>
      <c r="K309" s="14">
        <v>2022</v>
      </c>
      <c r="L309" s="14">
        <v>608</v>
      </c>
      <c r="M309" s="15">
        <v>15.45</v>
      </c>
      <c r="N309" s="17">
        <v>279409.89</v>
      </c>
      <c r="O309" s="17">
        <v>32476.468476525319</v>
      </c>
      <c r="P309" s="17">
        <v>18790.317399725071</v>
      </c>
      <c r="Q309" s="17">
        <v>228143.1041237496</v>
      </c>
      <c r="R309" s="17">
        <v>186848.95</v>
      </c>
      <c r="S309" s="17">
        <v>41294.154123749613</v>
      </c>
      <c r="T309" s="17">
        <v>9393.6</v>
      </c>
    </row>
    <row r="310" spans="1:20" x14ac:dyDescent="0.3">
      <c r="A310" s="13">
        <v>45260</v>
      </c>
      <c r="B310" s="7" t="s">
        <v>112</v>
      </c>
      <c r="C310" s="7" t="s">
        <v>29</v>
      </c>
      <c r="D310" s="7" t="s">
        <v>102</v>
      </c>
      <c r="E310" s="7" t="s">
        <v>30</v>
      </c>
      <c r="F310" s="14">
        <v>1331</v>
      </c>
      <c r="G310" s="15">
        <v>95.19</v>
      </c>
      <c r="H310" s="16">
        <v>8.525923696487088E-2</v>
      </c>
      <c r="I310" s="16">
        <v>1.330697100138376E-2</v>
      </c>
      <c r="J310" s="15">
        <v>71.150000000000006</v>
      </c>
      <c r="K310" s="14">
        <v>112</v>
      </c>
      <c r="L310" s="14">
        <v>7</v>
      </c>
      <c r="M310" s="15">
        <v>4.45</v>
      </c>
      <c r="N310" s="17">
        <v>126697.89</v>
      </c>
      <c r="O310" s="17">
        <v>10802.165426459151</v>
      </c>
      <c r="P310" s="17">
        <v>1542.2210460844669</v>
      </c>
      <c r="Q310" s="17">
        <v>114353.5035274564</v>
      </c>
      <c r="R310" s="17">
        <v>94700.650000000009</v>
      </c>
      <c r="S310" s="17">
        <v>19652.85352745638</v>
      </c>
      <c r="T310" s="17">
        <v>31.15</v>
      </c>
    </row>
    <row r="311" spans="1:20" x14ac:dyDescent="0.3">
      <c r="A311" s="13">
        <v>45260</v>
      </c>
      <c r="B311" s="7" t="s">
        <v>112</v>
      </c>
      <c r="C311" s="7" t="s">
        <v>29</v>
      </c>
      <c r="D311" s="7" t="s">
        <v>103</v>
      </c>
      <c r="E311" s="7" t="s">
        <v>25</v>
      </c>
      <c r="F311" s="14">
        <v>2907</v>
      </c>
      <c r="G311" s="15">
        <v>211.13</v>
      </c>
      <c r="H311" s="16">
        <v>0.1016044364742273</v>
      </c>
      <c r="I311" s="16">
        <v>3.6128693502104847E-2</v>
      </c>
      <c r="J311" s="15">
        <v>119.33</v>
      </c>
      <c r="K311" s="14">
        <v>2165</v>
      </c>
      <c r="L311" s="14">
        <v>785</v>
      </c>
      <c r="M311" s="15">
        <v>32.15</v>
      </c>
      <c r="N311" s="17">
        <v>613754.91</v>
      </c>
      <c r="O311" s="17">
        <v>62360.221763840113</v>
      </c>
      <c r="P311" s="17">
        <v>19921.169689972881</v>
      </c>
      <c r="Q311" s="17">
        <v>531473.51854618709</v>
      </c>
      <c r="R311" s="17">
        <v>346892.31</v>
      </c>
      <c r="S311" s="17">
        <v>184581.20854618709</v>
      </c>
      <c r="T311" s="17">
        <v>25237.75</v>
      </c>
    </row>
    <row r="312" spans="1:20" x14ac:dyDescent="0.3">
      <c r="A312" s="13">
        <v>45260</v>
      </c>
      <c r="B312" s="7" t="s">
        <v>112</v>
      </c>
      <c r="C312" s="7" t="s">
        <v>29</v>
      </c>
      <c r="D312" s="7" t="s">
        <v>103</v>
      </c>
      <c r="E312" s="7" t="s">
        <v>28</v>
      </c>
      <c r="F312" s="14">
        <v>686</v>
      </c>
      <c r="G312" s="15">
        <v>198.74</v>
      </c>
      <c r="H312" s="16">
        <v>0.14598537606243861</v>
      </c>
      <c r="I312" s="16">
        <v>4.115239658581115E-2</v>
      </c>
      <c r="J312" s="15">
        <v>122.41</v>
      </c>
      <c r="K312" s="14">
        <v>571</v>
      </c>
      <c r="L312" s="14">
        <v>164</v>
      </c>
      <c r="M312" s="15">
        <v>17.100000000000001</v>
      </c>
      <c r="N312" s="17">
        <v>136335.64000000001</v>
      </c>
      <c r="O312" s="17">
        <v>19903.009676113259</v>
      </c>
      <c r="P312" s="17">
        <v>4791.4817786177291</v>
      </c>
      <c r="Q312" s="17">
        <v>111641.148545269</v>
      </c>
      <c r="R312" s="17">
        <v>83973.26</v>
      </c>
      <c r="S312" s="17">
        <v>27667.88854526903</v>
      </c>
      <c r="T312" s="17">
        <v>2804.4</v>
      </c>
    </row>
    <row r="313" spans="1:20" x14ac:dyDescent="0.3">
      <c r="A313" s="13">
        <v>45260</v>
      </c>
      <c r="B313" s="7" t="s">
        <v>112</v>
      </c>
      <c r="C313" s="7" t="s">
        <v>29</v>
      </c>
      <c r="D313" s="7" t="s">
        <v>103</v>
      </c>
      <c r="E313" s="7" t="s">
        <v>30</v>
      </c>
      <c r="F313" s="14">
        <v>738</v>
      </c>
      <c r="G313" s="15">
        <v>178.04</v>
      </c>
      <c r="H313" s="16">
        <v>8.0165938935595052E-2</v>
      </c>
      <c r="I313" s="16">
        <v>1.834345808408339E-2</v>
      </c>
      <c r="J313" s="15">
        <v>117.3</v>
      </c>
      <c r="K313" s="14">
        <v>63</v>
      </c>
      <c r="L313" s="14">
        <v>4</v>
      </c>
      <c r="M313" s="15">
        <v>4.0199999999999996</v>
      </c>
      <c r="N313" s="17">
        <v>131393.51999999999</v>
      </c>
      <c r="O313" s="17">
        <v>10533.28490085289</v>
      </c>
      <c r="P313" s="17">
        <v>2216.9946565736691</v>
      </c>
      <c r="Q313" s="17">
        <v>118643.2404425734</v>
      </c>
      <c r="R313" s="17">
        <v>86567.4</v>
      </c>
      <c r="S313" s="17">
        <v>32075.84044257343</v>
      </c>
      <c r="T313" s="17">
        <v>16.079999999999998</v>
      </c>
    </row>
    <row r="314" spans="1:20" x14ac:dyDescent="0.3">
      <c r="A314" s="13">
        <v>45260</v>
      </c>
      <c r="B314" s="7" t="s">
        <v>112</v>
      </c>
      <c r="C314" s="7" t="s">
        <v>29</v>
      </c>
      <c r="D314" s="7" t="s">
        <v>104</v>
      </c>
      <c r="E314" s="7" t="s">
        <v>25</v>
      </c>
      <c r="F314" s="14">
        <v>1471</v>
      </c>
      <c r="G314" s="15">
        <v>42.31</v>
      </c>
      <c r="H314" s="16">
        <v>7.2146817583961798E-2</v>
      </c>
      <c r="I314" s="16">
        <v>4.4818660617184918E-2</v>
      </c>
      <c r="J314" s="15">
        <v>22.27</v>
      </c>
      <c r="K314" s="14">
        <v>1134</v>
      </c>
      <c r="L314" s="14">
        <v>463</v>
      </c>
      <c r="M314" s="15">
        <v>35.159999999999997</v>
      </c>
      <c r="N314" s="17">
        <v>62238.01</v>
      </c>
      <c r="O314" s="17">
        <v>4490.2743542587896</v>
      </c>
      <c r="P314" s="17">
        <v>2588.1761653173871</v>
      </c>
      <c r="Q314" s="17">
        <v>55159.559480423821</v>
      </c>
      <c r="R314" s="17">
        <v>32759.17</v>
      </c>
      <c r="S314" s="17">
        <v>22400.389480423819</v>
      </c>
      <c r="T314" s="17">
        <v>16279.08</v>
      </c>
    </row>
    <row r="315" spans="1:20" x14ac:dyDescent="0.3">
      <c r="A315" s="13">
        <v>45260</v>
      </c>
      <c r="B315" s="7" t="s">
        <v>112</v>
      </c>
      <c r="C315" s="7" t="s">
        <v>29</v>
      </c>
      <c r="D315" s="7" t="s">
        <v>104</v>
      </c>
      <c r="E315" s="7" t="s">
        <v>28</v>
      </c>
      <c r="F315" s="14">
        <v>741</v>
      </c>
      <c r="G315" s="15">
        <v>41.25</v>
      </c>
      <c r="H315" s="16">
        <v>8.0052593290544372E-2</v>
      </c>
      <c r="I315" s="16">
        <v>5.6553005541372089E-2</v>
      </c>
      <c r="J315" s="15">
        <v>21.35</v>
      </c>
      <c r="K315" s="14">
        <v>614</v>
      </c>
      <c r="L315" s="14">
        <v>188</v>
      </c>
      <c r="M315" s="15">
        <v>18.57</v>
      </c>
      <c r="N315" s="17">
        <v>30566.25</v>
      </c>
      <c r="O315" s="17">
        <v>2446.9075796671018</v>
      </c>
      <c r="P315" s="17">
        <v>1590.2333277168259</v>
      </c>
      <c r="Q315" s="17">
        <v>26529.109092616069</v>
      </c>
      <c r="R315" s="17">
        <v>15820.35</v>
      </c>
      <c r="S315" s="17">
        <v>10708.75909261607</v>
      </c>
      <c r="T315" s="17">
        <v>3491.16</v>
      </c>
    </row>
    <row r="316" spans="1:20" x14ac:dyDescent="0.3">
      <c r="A316" s="13">
        <v>45260</v>
      </c>
      <c r="B316" s="7" t="s">
        <v>112</v>
      </c>
      <c r="C316" s="7" t="s">
        <v>29</v>
      </c>
      <c r="D316" s="7" t="s">
        <v>104</v>
      </c>
      <c r="E316" s="7" t="s">
        <v>30</v>
      </c>
      <c r="F316" s="14">
        <v>1062</v>
      </c>
      <c r="G316" s="15">
        <v>36.729999999999997</v>
      </c>
      <c r="H316" s="16">
        <v>7.5068222815696736E-2</v>
      </c>
      <c r="I316" s="16">
        <v>2.2100472452259209E-2</v>
      </c>
      <c r="J316" s="15">
        <v>22.31</v>
      </c>
      <c r="K316" s="14">
        <v>90</v>
      </c>
      <c r="L316" s="14">
        <v>5</v>
      </c>
      <c r="M316" s="15">
        <v>6.85</v>
      </c>
      <c r="N316" s="17">
        <v>39007.259999999987</v>
      </c>
      <c r="O316" s="17">
        <v>2928.2056851098141</v>
      </c>
      <c r="P316" s="17">
        <v>797.36414598979411</v>
      </c>
      <c r="Q316" s="17">
        <v>35281.690168900393</v>
      </c>
      <c r="R316" s="17">
        <v>23693.22</v>
      </c>
      <c r="S316" s="17">
        <v>11588.47016890039</v>
      </c>
      <c r="T316" s="17">
        <v>34.25</v>
      </c>
    </row>
    <row r="317" spans="1:20" x14ac:dyDescent="0.3">
      <c r="A317" s="13">
        <v>45260</v>
      </c>
      <c r="B317" s="7" t="s">
        <v>112</v>
      </c>
      <c r="C317" s="7" t="s">
        <v>31</v>
      </c>
      <c r="D317" s="7" t="s">
        <v>102</v>
      </c>
      <c r="E317" s="7" t="s">
        <v>25</v>
      </c>
      <c r="F317" s="14">
        <v>1740</v>
      </c>
      <c r="G317" s="15">
        <v>109.66</v>
      </c>
      <c r="H317" s="16">
        <v>7.7597732094937727E-2</v>
      </c>
      <c r="I317" s="16">
        <v>3.5826331863949158E-2</v>
      </c>
      <c r="J317" s="15">
        <v>66.97</v>
      </c>
      <c r="K317" s="14">
        <v>1223</v>
      </c>
      <c r="L317" s="14">
        <v>439</v>
      </c>
      <c r="M317" s="15">
        <v>37.619999999999997</v>
      </c>
      <c r="N317" s="17">
        <v>190808.4</v>
      </c>
      <c r="O317" s="17">
        <v>14806.29910466372</v>
      </c>
      <c r="P317" s="17">
        <v>6305.5096754285814</v>
      </c>
      <c r="Q317" s="17">
        <v>169696.59121990771</v>
      </c>
      <c r="R317" s="17">
        <v>116527.8</v>
      </c>
      <c r="S317" s="17">
        <v>53168.791219907682</v>
      </c>
      <c r="T317" s="17">
        <v>16515.18</v>
      </c>
    </row>
    <row r="318" spans="1:20" x14ac:dyDescent="0.3">
      <c r="A318" s="13">
        <v>45260</v>
      </c>
      <c r="B318" s="7" t="s">
        <v>112</v>
      </c>
      <c r="C318" s="7" t="s">
        <v>31</v>
      </c>
      <c r="D318" s="7" t="s">
        <v>102</v>
      </c>
      <c r="E318" s="7" t="s">
        <v>28</v>
      </c>
      <c r="F318" s="14">
        <v>1144</v>
      </c>
      <c r="G318" s="15">
        <v>99.87</v>
      </c>
      <c r="H318" s="16">
        <v>9.7346911607843978E-2</v>
      </c>
      <c r="I318" s="16">
        <v>5.6744744243634453E-2</v>
      </c>
      <c r="J318" s="15">
        <v>66.95</v>
      </c>
      <c r="K318" s="14">
        <v>906</v>
      </c>
      <c r="L318" s="14">
        <v>273</v>
      </c>
      <c r="M318" s="15">
        <v>25.86</v>
      </c>
      <c r="N318" s="17">
        <v>114251.28</v>
      </c>
      <c r="O318" s="17">
        <v>11122.009255243031</v>
      </c>
      <c r="P318" s="17">
        <v>5852.0440924437662</v>
      </c>
      <c r="Q318" s="17">
        <v>97277.226652313198</v>
      </c>
      <c r="R318" s="17">
        <v>76590.8</v>
      </c>
      <c r="S318" s="17">
        <v>20686.426652313199</v>
      </c>
      <c r="T318" s="17">
        <v>7059.78</v>
      </c>
    </row>
    <row r="319" spans="1:20" x14ac:dyDescent="0.3">
      <c r="A319" s="13">
        <v>45260</v>
      </c>
      <c r="B319" s="7" t="s">
        <v>112</v>
      </c>
      <c r="C319" s="7" t="s">
        <v>31</v>
      </c>
      <c r="D319" s="7" t="s">
        <v>102</v>
      </c>
      <c r="E319" s="7" t="s">
        <v>30</v>
      </c>
      <c r="F319" s="14">
        <v>839</v>
      </c>
      <c r="G319" s="15">
        <v>90.96</v>
      </c>
      <c r="H319" s="16">
        <v>9.1928649115134223E-2</v>
      </c>
      <c r="I319" s="16">
        <v>1.2070083438810209E-2</v>
      </c>
      <c r="J319" s="15">
        <v>63.76</v>
      </c>
      <c r="K319" s="14">
        <v>66</v>
      </c>
      <c r="L319" s="14">
        <v>4</v>
      </c>
      <c r="M319" s="15">
        <v>6.68</v>
      </c>
      <c r="N319" s="17">
        <v>76315.439999999988</v>
      </c>
      <c r="O319" s="17">
        <v>7015.5753058270766</v>
      </c>
      <c r="P319" s="17">
        <v>836.45514915692479</v>
      </c>
      <c r="Q319" s="17">
        <v>68463.40954501598</v>
      </c>
      <c r="R319" s="17">
        <v>53494.64</v>
      </c>
      <c r="S319" s="17">
        <v>14968.769545015981</v>
      </c>
      <c r="T319" s="17">
        <v>26.72</v>
      </c>
    </row>
    <row r="320" spans="1:20" x14ac:dyDescent="0.3">
      <c r="A320" s="13">
        <v>45260</v>
      </c>
      <c r="B320" s="7" t="s">
        <v>112</v>
      </c>
      <c r="C320" s="7" t="s">
        <v>31</v>
      </c>
      <c r="D320" s="7" t="s">
        <v>103</v>
      </c>
      <c r="E320" s="7" t="s">
        <v>25</v>
      </c>
      <c r="F320" s="14">
        <v>1040</v>
      </c>
      <c r="G320" s="15">
        <v>185.23</v>
      </c>
      <c r="H320" s="16">
        <v>9.0045569339061673E-2</v>
      </c>
      <c r="I320" s="16">
        <v>4.3278211728430847E-2</v>
      </c>
      <c r="J320" s="15">
        <v>119.05</v>
      </c>
      <c r="K320" s="14">
        <v>692</v>
      </c>
      <c r="L320" s="14">
        <v>271</v>
      </c>
      <c r="M320" s="15">
        <v>26.16</v>
      </c>
      <c r="N320" s="17">
        <v>192639.2</v>
      </c>
      <c r="O320" s="17">
        <v>17346.30644102137</v>
      </c>
      <c r="P320" s="17">
        <v>7586.3629619347694</v>
      </c>
      <c r="Q320" s="17">
        <v>167706.53059704389</v>
      </c>
      <c r="R320" s="17">
        <v>123812</v>
      </c>
      <c r="S320" s="17">
        <v>43894.530597043857</v>
      </c>
      <c r="T320" s="17">
        <v>7089.36</v>
      </c>
    </row>
    <row r="321" spans="1:20" x14ac:dyDescent="0.3">
      <c r="A321" s="13">
        <v>45260</v>
      </c>
      <c r="B321" s="7" t="s">
        <v>112</v>
      </c>
      <c r="C321" s="7" t="s">
        <v>31</v>
      </c>
      <c r="D321" s="7" t="s">
        <v>103</v>
      </c>
      <c r="E321" s="7" t="s">
        <v>28</v>
      </c>
      <c r="F321" s="14">
        <v>448</v>
      </c>
      <c r="G321" s="15">
        <v>182.23</v>
      </c>
      <c r="H321" s="16">
        <v>0.112654184895116</v>
      </c>
      <c r="I321" s="16">
        <v>4.5062769078146561E-2</v>
      </c>
      <c r="J321" s="15">
        <v>118.1</v>
      </c>
      <c r="K321" s="14">
        <v>360</v>
      </c>
      <c r="L321" s="14">
        <v>110</v>
      </c>
      <c r="M321" s="15">
        <v>20.78</v>
      </c>
      <c r="N321" s="17">
        <v>81639.039999999994</v>
      </c>
      <c r="O321" s="17">
        <v>9196.9795068197727</v>
      </c>
      <c r="P321" s="17">
        <v>3264.439843549304</v>
      </c>
      <c r="Q321" s="17">
        <v>69177.620649630917</v>
      </c>
      <c r="R321" s="17">
        <v>52908.800000000003</v>
      </c>
      <c r="S321" s="17">
        <v>16268.820649630919</v>
      </c>
      <c r="T321" s="17">
        <v>2285.8000000000002</v>
      </c>
    </row>
    <row r="322" spans="1:20" x14ac:dyDescent="0.3">
      <c r="A322" s="13">
        <v>45260</v>
      </c>
      <c r="B322" s="7" t="s">
        <v>112</v>
      </c>
      <c r="C322" s="7" t="s">
        <v>31</v>
      </c>
      <c r="D322" s="7" t="s">
        <v>103</v>
      </c>
      <c r="E322" s="7" t="s">
        <v>30</v>
      </c>
      <c r="F322" s="14">
        <v>338</v>
      </c>
      <c r="G322" s="15">
        <v>161.38</v>
      </c>
      <c r="H322" s="16">
        <v>6.9472851521061682E-2</v>
      </c>
      <c r="I322" s="16">
        <v>3.3103965455149882E-2</v>
      </c>
      <c r="J322" s="15">
        <v>111.97</v>
      </c>
      <c r="K322" s="14">
        <v>28</v>
      </c>
      <c r="L322" s="14">
        <v>2</v>
      </c>
      <c r="M322" s="15">
        <v>6.32</v>
      </c>
      <c r="N322" s="17">
        <v>54546.44</v>
      </c>
      <c r="O322" s="17">
        <v>3789.4967271225</v>
      </c>
      <c r="P322" s="17">
        <v>1680.256096714339</v>
      </c>
      <c r="Q322" s="17">
        <v>49076.687176163163</v>
      </c>
      <c r="R322" s="17">
        <v>37845.86</v>
      </c>
      <c r="S322" s="17">
        <v>11230.82717616316</v>
      </c>
      <c r="T322" s="17">
        <v>12.64</v>
      </c>
    </row>
    <row r="323" spans="1:20" x14ac:dyDescent="0.3">
      <c r="A323" s="13">
        <v>45260</v>
      </c>
      <c r="B323" s="7" t="s">
        <v>112</v>
      </c>
      <c r="C323" s="7" t="s">
        <v>31</v>
      </c>
      <c r="D323" s="7" t="s">
        <v>104</v>
      </c>
      <c r="E323" s="7" t="s">
        <v>25</v>
      </c>
      <c r="F323" s="14">
        <v>928</v>
      </c>
      <c r="G323" s="15">
        <v>40.94</v>
      </c>
      <c r="H323" s="16">
        <v>9.5253649141517044E-2</v>
      </c>
      <c r="I323" s="16">
        <v>3.9468793469824549E-2</v>
      </c>
      <c r="J323" s="15">
        <v>22.02</v>
      </c>
      <c r="K323" s="14">
        <v>647</v>
      </c>
      <c r="L323" s="14">
        <v>272</v>
      </c>
      <c r="M323" s="15">
        <v>38.32</v>
      </c>
      <c r="N323" s="17">
        <v>37992.32</v>
      </c>
      <c r="O323" s="17">
        <v>3618.9071193522409</v>
      </c>
      <c r="P323" s="17">
        <v>1356.677133839293</v>
      </c>
      <c r="Q323" s="17">
        <v>33016.735746808467</v>
      </c>
      <c r="R323" s="17">
        <v>20434.560000000001</v>
      </c>
      <c r="S323" s="17">
        <v>12582.175746808471</v>
      </c>
      <c r="T323" s="17">
        <v>10423.040000000001</v>
      </c>
    </row>
    <row r="324" spans="1:20" x14ac:dyDescent="0.3">
      <c r="A324" s="13">
        <v>45260</v>
      </c>
      <c r="B324" s="7" t="s">
        <v>112</v>
      </c>
      <c r="C324" s="7" t="s">
        <v>31</v>
      </c>
      <c r="D324" s="7" t="s">
        <v>104</v>
      </c>
      <c r="E324" s="7" t="s">
        <v>28</v>
      </c>
      <c r="F324" s="14">
        <v>315</v>
      </c>
      <c r="G324" s="15">
        <v>37.36</v>
      </c>
      <c r="H324" s="16">
        <v>0.1188565576569236</v>
      </c>
      <c r="I324" s="16">
        <v>7.8561572020262094E-2</v>
      </c>
      <c r="J324" s="15">
        <v>20.95</v>
      </c>
      <c r="K324" s="14">
        <v>249</v>
      </c>
      <c r="L324" s="14">
        <v>74</v>
      </c>
      <c r="M324" s="15">
        <v>17.86</v>
      </c>
      <c r="N324" s="17">
        <v>11768.4</v>
      </c>
      <c r="O324" s="17">
        <v>1398.75151312974</v>
      </c>
      <c r="P324" s="17">
        <v>814.65588642605985</v>
      </c>
      <c r="Q324" s="17">
        <v>9554.9926004442004</v>
      </c>
      <c r="R324" s="17">
        <v>6599.25</v>
      </c>
      <c r="S324" s="17">
        <v>2955.7426004442</v>
      </c>
      <c r="T324" s="17">
        <v>1321.64</v>
      </c>
    </row>
    <row r="325" spans="1:20" x14ac:dyDescent="0.3">
      <c r="A325" s="13">
        <v>45260</v>
      </c>
      <c r="B325" s="7" t="s">
        <v>112</v>
      </c>
      <c r="C325" s="7" t="s">
        <v>31</v>
      </c>
      <c r="D325" s="7" t="s">
        <v>104</v>
      </c>
      <c r="E325" s="7" t="s">
        <v>30</v>
      </c>
      <c r="F325" s="14">
        <v>285</v>
      </c>
      <c r="G325" s="15">
        <v>32.76</v>
      </c>
      <c r="H325" s="16">
        <v>7.221847876893446E-2</v>
      </c>
      <c r="I325" s="16">
        <v>2.6000394782134301E-2</v>
      </c>
      <c r="J325" s="15">
        <v>20.92</v>
      </c>
      <c r="K325" s="14">
        <v>25</v>
      </c>
      <c r="L325" s="14">
        <v>1</v>
      </c>
      <c r="M325" s="15">
        <v>3.31</v>
      </c>
      <c r="N325" s="17">
        <v>9336.5999999999985</v>
      </c>
      <c r="O325" s="17">
        <v>674.27504887403336</v>
      </c>
      <c r="P325" s="17">
        <v>225.22386846040729</v>
      </c>
      <c r="Q325" s="17">
        <v>8437.1010826655584</v>
      </c>
      <c r="R325" s="17">
        <v>5962.2000000000007</v>
      </c>
      <c r="S325" s="17">
        <v>2474.9010826655581</v>
      </c>
      <c r="T325" s="17">
        <v>3.31</v>
      </c>
    </row>
    <row r="326" spans="1:20" x14ac:dyDescent="0.3">
      <c r="A326" s="13">
        <v>45291</v>
      </c>
      <c r="B326" s="7" t="s">
        <v>113</v>
      </c>
      <c r="C326" s="7" t="s">
        <v>24</v>
      </c>
      <c r="D326" s="7" t="s">
        <v>102</v>
      </c>
      <c r="E326" s="7" t="s">
        <v>25</v>
      </c>
      <c r="F326" s="14">
        <v>8173</v>
      </c>
      <c r="G326" s="15">
        <v>122.71</v>
      </c>
      <c r="H326" s="16">
        <v>8.1835947028734132E-2</v>
      </c>
      <c r="I326" s="16">
        <v>1.7944339429009311E-2</v>
      </c>
      <c r="J326" s="15">
        <v>73.19</v>
      </c>
      <c r="K326" s="14">
        <v>5368</v>
      </c>
      <c r="L326" s="14">
        <v>1963</v>
      </c>
      <c r="M326" s="15">
        <v>39.340000000000003</v>
      </c>
      <c r="N326" s="17">
        <v>1002908.83</v>
      </c>
      <c r="O326" s="17">
        <v>82073.993886529715</v>
      </c>
      <c r="P326" s="17">
        <v>16523.772857276272</v>
      </c>
      <c r="Q326" s="17">
        <v>904311.063256194</v>
      </c>
      <c r="R326" s="17">
        <v>598181.87</v>
      </c>
      <c r="S326" s="17">
        <v>306129.193256194</v>
      </c>
      <c r="T326" s="17">
        <v>77224.420000000013</v>
      </c>
    </row>
    <row r="327" spans="1:20" x14ac:dyDescent="0.3">
      <c r="A327" s="13">
        <v>45291</v>
      </c>
      <c r="B327" s="7" t="s">
        <v>113</v>
      </c>
      <c r="C327" s="7" t="s">
        <v>24</v>
      </c>
      <c r="D327" s="7" t="s">
        <v>102</v>
      </c>
      <c r="E327" s="7" t="s">
        <v>28</v>
      </c>
      <c r="F327" s="14">
        <v>4683</v>
      </c>
      <c r="G327" s="15">
        <v>115.86</v>
      </c>
      <c r="H327" s="16">
        <v>0.13077829901211441</v>
      </c>
      <c r="I327" s="16">
        <v>7.0025107330771205E-2</v>
      </c>
      <c r="J327" s="15">
        <v>69.7</v>
      </c>
      <c r="K327" s="14">
        <v>3725</v>
      </c>
      <c r="L327" s="14">
        <v>1104</v>
      </c>
      <c r="M327" s="15">
        <v>18.27</v>
      </c>
      <c r="N327" s="17">
        <v>542572.38</v>
      </c>
      <c r="O327" s="17">
        <v>70956.692947354546</v>
      </c>
      <c r="P327" s="17">
        <v>33024.939104736914</v>
      </c>
      <c r="Q327" s="17">
        <v>438590.74794790859</v>
      </c>
      <c r="R327" s="17">
        <v>326405.09999999998</v>
      </c>
      <c r="S327" s="17">
        <v>112185.6479479086</v>
      </c>
      <c r="T327" s="17">
        <v>20170.080000000002</v>
      </c>
    </row>
    <row r="328" spans="1:20" x14ac:dyDescent="0.3">
      <c r="A328" s="13">
        <v>45291</v>
      </c>
      <c r="B328" s="7" t="s">
        <v>113</v>
      </c>
      <c r="C328" s="7" t="s">
        <v>24</v>
      </c>
      <c r="D328" s="7" t="s">
        <v>102</v>
      </c>
      <c r="E328" s="7" t="s">
        <v>30</v>
      </c>
      <c r="F328" s="14">
        <v>3618</v>
      </c>
      <c r="G328" s="15">
        <v>103.08</v>
      </c>
      <c r="H328" s="16">
        <v>7.0880179593258291E-2</v>
      </c>
      <c r="I328" s="16">
        <v>2.7052295726017521E-2</v>
      </c>
      <c r="J328" s="15">
        <v>72.150000000000006</v>
      </c>
      <c r="K328" s="14">
        <v>319</v>
      </c>
      <c r="L328" s="14">
        <v>20</v>
      </c>
      <c r="M328" s="15">
        <v>4.2300000000000004</v>
      </c>
      <c r="N328" s="17">
        <v>372943.44</v>
      </c>
      <c r="O328" s="17">
        <v>26434.29800532755</v>
      </c>
      <c r="P328" s="17">
        <v>9373.8677810084773</v>
      </c>
      <c r="Q328" s="17">
        <v>337135.274213664</v>
      </c>
      <c r="R328" s="17">
        <v>261038.7</v>
      </c>
      <c r="S328" s="17">
        <v>76096.574213663989</v>
      </c>
      <c r="T328" s="17">
        <v>84.600000000000009</v>
      </c>
    </row>
    <row r="329" spans="1:20" x14ac:dyDescent="0.3">
      <c r="A329" s="13">
        <v>45291</v>
      </c>
      <c r="B329" s="7" t="s">
        <v>113</v>
      </c>
      <c r="C329" s="7" t="s">
        <v>24</v>
      </c>
      <c r="D329" s="7" t="s">
        <v>103</v>
      </c>
      <c r="E329" s="7" t="s">
        <v>25</v>
      </c>
      <c r="F329" s="14">
        <v>5362</v>
      </c>
      <c r="G329" s="15">
        <v>223.3</v>
      </c>
      <c r="H329" s="16">
        <v>9.4003769859400274E-2</v>
      </c>
      <c r="I329" s="16">
        <v>4.463184795267585E-2</v>
      </c>
      <c r="J329" s="15">
        <v>122.9</v>
      </c>
      <c r="K329" s="14">
        <v>3801</v>
      </c>
      <c r="L329" s="14">
        <v>1406</v>
      </c>
      <c r="M329" s="15">
        <v>33.79</v>
      </c>
      <c r="N329" s="17">
        <v>1197334.6000000001</v>
      </c>
      <c r="O329" s="17">
        <v>112553.9661830971</v>
      </c>
      <c r="P329" s="17">
        <v>48415.764310523351</v>
      </c>
      <c r="Q329" s="17">
        <v>1036364.8695063801</v>
      </c>
      <c r="R329" s="17">
        <v>658989.80000000005</v>
      </c>
      <c r="S329" s="17">
        <v>377375.06950637948</v>
      </c>
      <c r="T329" s="17">
        <v>47508.74</v>
      </c>
    </row>
    <row r="330" spans="1:20" x14ac:dyDescent="0.3">
      <c r="A330" s="13">
        <v>45291</v>
      </c>
      <c r="B330" s="7" t="s">
        <v>113</v>
      </c>
      <c r="C330" s="7" t="s">
        <v>24</v>
      </c>
      <c r="D330" s="7" t="s">
        <v>103</v>
      </c>
      <c r="E330" s="7" t="s">
        <v>28</v>
      </c>
      <c r="F330" s="14">
        <v>2571</v>
      </c>
      <c r="G330" s="15">
        <v>217.45</v>
      </c>
      <c r="H330" s="16">
        <v>0.1014145697365043</v>
      </c>
      <c r="I330" s="16">
        <v>6.5968905749202125E-2</v>
      </c>
      <c r="J330" s="15">
        <v>128.81</v>
      </c>
      <c r="K330" s="14">
        <v>2234</v>
      </c>
      <c r="L330" s="14">
        <v>678</v>
      </c>
      <c r="M330" s="15">
        <v>17.29</v>
      </c>
      <c r="N330" s="17">
        <v>559063.94999999995</v>
      </c>
      <c r="O330" s="17">
        <v>56697.229944440543</v>
      </c>
      <c r="P330" s="17">
        <v>33140.582806881008</v>
      </c>
      <c r="Q330" s="17">
        <v>469226.13724867842</v>
      </c>
      <c r="R330" s="17">
        <v>331170.51</v>
      </c>
      <c r="S330" s="17">
        <v>138055.62724867839</v>
      </c>
      <c r="T330" s="17">
        <v>11722.62</v>
      </c>
    </row>
    <row r="331" spans="1:20" x14ac:dyDescent="0.3">
      <c r="A331" s="13">
        <v>45291</v>
      </c>
      <c r="B331" s="7" t="s">
        <v>113</v>
      </c>
      <c r="C331" s="7" t="s">
        <v>24</v>
      </c>
      <c r="D331" s="7" t="s">
        <v>103</v>
      </c>
      <c r="E331" s="7" t="s">
        <v>30</v>
      </c>
      <c r="F331" s="14">
        <v>1300</v>
      </c>
      <c r="G331" s="15">
        <v>181.69</v>
      </c>
      <c r="H331" s="16">
        <v>6.6109664964804693E-2</v>
      </c>
      <c r="I331" s="16">
        <v>1.2972164904106791E-2</v>
      </c>
      <c r="J331" s="15">
        <v>122.23</v>
      </c>
      <c r="K331" s="14">
        <v>106</v>
      </c>
      <c r="L331" s="14">
        <v>6</v>
      </c>
      <c r="M331" s="15">
        <v>5.81</v>
      </c>
      <c r="N331" s="17">
        <v>236197</v>
      </c>
      <c r="O331" s="17">
        <v>15614.904535691971</v>
      </c>
      <c r="P331" s="17">
        <v>2861.4273172564299</v>
      </c>
      <c r="Q331" s="17">
        <v>217720.66814705159</v>
      </c>
      <c r="R331" s="17">
        <v>158899</v>
      </c>
      <c r="S331" s="17">
        <v>58821.66814705159</v>
      </c>
      <c r="T331" s="17">
        <v>34.86</v>
      </c>
    </row>
    <row r="332" spans="1:20" x14ac:dyDescent="0.3">
      <c r="A332" s="13">
        <v>45291</v>
      </c>
      <c r="B332" s="7" t="s">
        <v>113</v>
      </c>
      <c r="C332" s="7" t="s">
        <v>24</v>
      </c>
      <c r="D332" s="7" t="s">
        <v>104</v>
      </c>
      <c r="E332" s="7" t="s">
        <v>25</v>
      </c>
      <c r="F332" s="14">
        <v>2830</v>
      </c>
      <c r="G332" s="15">
        <v>47.42</v>
      </c>
      <c r="H332" s="16">
        <v>8.1119233522996145E-2</v>
      </c>
      <c r="I332" s="16">
        <v>4.854525227066616E-2</v>
      </c>
      <c r="J332" s="15">
        <v>21.67</v>
      </c>
      <c r="K332" s="14">
        <v>2070</v>
      </c>
      <c r="L332" s="14">
        <v>811</v>
      </c>
      <c r="M332" s="15">
        <v>37.130000000000003</v>
      </c>
      <c r="N332" s="17">
        <v>134198.6</v>
      </c>
      <c r="O332" s="17">
        <v>10886.087571859151</v>
      </c>
      <c r="P332" s="17">
        <v>5986.237023953754</v>
      </c>
      <c r="Q332" s="17">
        <v>117326.27540418709</v>
      </c>
      <c r="R332" s="17">
        <v>61326.100000000013</v>
      </c>
      <c r="S332" s="17">
        <v>56000.175404187088</v>
      </c>
      <c r="T332" s="17">
        <v>30112.43</v>
      </c>
    </row>
    <row r="333" spans="1:20" x14ac:dyDescent="0.3">
      <c r="A333" s="13">
        <v>45291</v>
      </c>
      <c r="B333" s="7" t="s">
        <v>113</v>
      </c>
      <c r="C333" s="7" t="s">
        <v>24</v>
      </c>
      <c r="D333" s="7" t="s">
        <v>104</v>
      </c>
      <c r="E333" s="7" t="s">
        <v>28</v>
      </c>
      <c r="F333" s="14">
        <v>1562</v>
      </c>
      <c r="G333" s="15">
        <v>42.48</v>
      </c>
      <c r="H333" s="16">
        <v>0.1307501079285609</v>
      </c>
      <c r="I333" s="16">
        <v>4.5774779936636978E-2</v>
      </c>
      <c r="J333" s="15">
        <v>22.71</v>
      </c>
      <c r="K333" s="14">
        <v>1330</v>
      </c>
      <c r="L333" s="14">
        <v>371</v>
      </c>
      <c r="M333" s="15">
        <v>13.57</v>
      </c>
      <c r="N333" s="17">
        <v>66353.759999999995</v>
      </c>
      <c r="O333" s="17">
        <v>8675.761281465826</v>
      </c>
      <c r="P333" s="17">
        <v>2640.197698526531</v>
      </c>
      <c r="Q333" s="17">
        <v>55037.801020007639</v>
      </c>
      <c r="R333" s="17">
        <v>35473.019999999997</v>
      </c>
      <c r="S333" s="17">
        <v>19564.781020007631</v>
      </c>
      <c r="T333" s="17">
        <v>5034.47</v>
      </c>
    </row>
    <row r="334" spans="1:20" x14ac:dyDescent="0.3">
      <c r="A334" s="13">
        <v>45291</v>
      </c>
      <c r="B334" s="7" t="s">
        <v>113</v>
      </c>
      <c r="C334" s="7" t="s">
        <v>24</v>
      </c>
      <c r="D334" s="7" t="s">
        <v>104</v>
      </c>
      <c r="E334" s="7" t="s">
        <v>30</v>
      </c>
      <c r="F334" s="14">
        <v>1412</v>
      </c>
      <c r="G334" s="15">
        <v>38.5</v>
      </c>
      <c r="H334" s="16">
        <v>6.268389590648947E-2</v>
      </c>
      <c r="I334" s="16">
        <v>2.2910132835423629E-2</v>
      </c>
      <c r="J334" s="15">
        <v>22.57</v>
      </c>
      <c r="K334" s="14">
        <v>112</v>
      </c>
      <c r="L334" s="14">
        <v>7</v>
      </c>
      <c r="M334" s="15">
        <v>4.5199999999999996</v>
      </c>
      <c r="N334" s="17">
        <v>54362</v>
      </c>
      <c r="O334" s="17">
        <v>3407.62194926858</v>
      </c>
      <c r="P334" s="17">
        <v>1167.3715696886511</v>
      </c>
      <c r="Q334" s="17">
        <v>49787.006481042772</v>
      </c>
      <c r="R334" s="17">
        <v>31868.84</v>
      </c>
      <c r="S334" s="17">
        <v>17918.166481042768</v>
      </c>
      <c r="T334" s="17">
        <v>31.64</v>
      </c>
    </row>
    <row r="335" spans="1:20" x14ac:dyDescent="0.3">
      <c r="A335" s="13">
        <v>45291</v>
      </c>
      <c r="B335" s="7" t="s">
        <v>113</v>
      </c>
      <c r="C335" s="7" t="s">
        <v>27</v>
      </c>
      <c r="D335" s="7" t="s">
        <v>102</v>
      </c>
      <c r="E335" s="7" t="s">
        <v>25</v>
      </c>
      <c r="F335" s="14">
        <v>5349</v>
      </c>
      <c r="G335" s="15">
        <v>127.93</v>
      </c>
      <c r="H335" s="16">
        <v>9.128714669245766E-2</v>
      </c>
      <c r="I335" s="16">
        <v>3.7365517839177513E-2</v>
      </c>
      <c r="J335" s="15">
        <v>75.63</v>
      </c>
      <c r="K335" s="14">
        <v>3399</v>
      </c>
      <c r="L335" s="14">
        <v>1319</v>
      </c>
      <c r="M335" s="15">
        <v>30.26</v>
      </c>
      <c r="N335" s="17">
        <v>684297.57000000007</v>
      </c>
      <c r="O335" s="17">
        <v>62467.572653882322</v>
      </c>
      <c r="P335" s="17">
        <v>23234.999858772069</v>
      </c>
      <c r="Q335" s="17">
        <v>598594.99748734571</v>
      </c>
      <c r="R335" s="17">
        <v>404544.87</v>
      </c>
      <c r="S335" s="17">
        <v>194050.12748734569</v>
      </c>
      <c r="T335" s="17">
        <v>39912.94</v>
      </c>
    </row>
    <row r="336" spans="1:20" x14ac:dyDescent="0.3">
      <c r="A336" s="13">
        <v>45291</v>
      </c>
      <c r="B336" s="7" t="s">
        <v>113</v>
      </c>
      <c r="C336" s="7" t="s">
        <v>27</v>
      </c>
      <c r="D336" s="7" t="s">
        <v>102</v>
      </c>
      <c r="E336" s="7" t="s">
        <v>28</v>
      </c>
      <c r="F336" s="14">
        <v>2748</v>
      </c>
      <c r="G336" s="15">
        <v>126.14</v>
      </c>
      <c r="H336" s="16">
        <v>0.12844681661655349</v>
      </c>
      <c r="I336" s="16">
        <v>3.6966418151893408E-2</v>
      </c>
      <c r="J336" s="15">
        <v>75.8</v>
      </c>
      <c r="K336" s="14">
        <v>2357</v>
      </c>
      <c r="L336" s="14">
        <v>721</v>
      </c>
      <c r="M336" s="15">
        <v>19.98</v>
      </c>
      <c r="N336" s="17">
        <v>346632.72</v>
      </c>
      <c r="O336" s="17">
        <v>44523.869419137132</v>
      </c>
      <c r="P336" s="17">
        <v>11167.88209796006</v>
      </c>
      <c r="Q336" s="17">
        <v>290940.96848290291</v>
      </c>
      <c r="R336" s="17">
        <v>208298.4</v>
      </c>
      <c r="S336" s="17">
        <v>82642.568482902861</v>
      </c>
      <c r="T336" s="17">
        <v>14405.58</v>
      </c>
    </row>
    <row r="337" spans="1:20" x14ac:dyDescent="0.3">
      <c r="A337" s="13">
        <v>45291</v>
      </c>
      <c r="B337" s="7" t="s">
        <v>113</v>
      </c>
      <c r="C337" s="7" t="s">
        <v>27</v>
      </c>
      <c r="D337" s="7" t="s">
        <v>102</v>
      </c>
      <c r="E337" s="7" t="s">
        <v>30</v>
      </c>
      <c r="F337" s="14">
        <v>1942</v>
      </c>
      <c r="G337" s="15">
        <v>108.81</v>
      </c>
      <c r="H337" s="16">
        <v>7.3505529648969628E-2</v>
      </c>
      <c r="I337" s="16">
        <v>2.7156833909155919E-2</v>
      </c>
      <c r="J337" s="15">
        <v>76.53</v>
      </c>
      <c r="K337" s="14">
        <v>160</v>
      </c>
      <c r="L337" s="14">
        <v>10</v>
      </c>
      <c r="M337" s="15">
        <v>3.82</v>
      </c>
      <c r="N337" s="17">
        <v>211309.02</v>
      </c>
      <c r="O337" s="17">
        <v>15532.381434704719</v>
      </c>
      <c r="P337" s="17">
        <v>5316.6736568105734</v>
      </c>
      <c r="Q337" s="17">
        <v>190459.96490848469</v>
      </c>
      <c r="R337" s="17">
        <v>148621.26</v>
      </c>
      <c r="S337" s="17">
        <v>41838.704908484709</v>
      </c>
      <c r="T337" s="17">
        <v>38.200000000000003</v>
      </c>
    </row>
    <row r="338" spans="1:20" x14ac:dyDescent="0.3">
      <c r="A338" s="13">
        <v>45291</v>
      </c>
      <c r="B338" s="7" t="s">
        <v>113</v>
      </c>
      <c r="C338" s="7" t="s">
        <v>27</v>
      </c>
      <c r="D338" s="7" t="s">
        <v>103</v>
      </c>
      <c r="E338" s="7" t="s">
        <v>25</v>
      </c>
      <c r="F338" s="14">
        <v>3261</v>
      </c>
      <c r="G338" s="15">
        <v>250.75</v>
      </c>
      <c r="H338" s="16">
        <v>0.1171656510169603</v>
      </c>
      <c r="I338" s="16">
        <v>5.023709546106981E-2</v>
      </c>
      <c r="J338" s="15">
        <v>128.01</v>
      </c>
      <c r="K338" s="14">
        <v>2369</v>
      </c>
      <c r="L338" s="14">
        <v>921</v>
      </c>
      <c r="M338" s="15">
        <v>38.020000000000003</v>
      </c>
      <c r="N338" s="17">
        <v>817695.75</v>
      </c>
      <c r="O338" s="17">
        <v>95805.854882551634</v>
      </c>
      <c r="P338" s="17">
        <v>36265.651573396928</v>
      </c>
      <c r="Q338" s="17">
        <v>685624.24354405142</v>
      </c>
      <c r="R338" s="17">
        <v>417440.61</v>
      </c>
      <c r="S338" s="17">
        <v>268183.63354405138</v>
      </c>
      <c r="T338" s="17">
        <v>35016.420000000013</v>
      </c>
    </row>
    <row r="339" spans="1:20" x14ac:dyDescent="0.3">
      <c r="A339" s="13">
        <v>45291</v>
      </c>
      <c r="B339" s="7" t="s">
        <v>113</v>
      </c>
      <c r="C339" s="7" t="s">
        <v>27</v>
      </c>
      <c r="D339" s="7" t="s">
        <v>103</v>
      </c>
      <c r="E339" s="7" t="s">
        <v>28</v>
      </c>
      <c r="F339" s="14">
        <v>1360</v>
      </c>
      <c r="G339" s="15">
        <v>238.42</v>
      </c>
      <c r="H339" s="16">
        <v>0.105268284013044</v>
      </c>
      <c r="I339" s="16">
        <v>8.2985515870171736E-2</v>
      </c>
      <c r="J339" s="15">
        <v>128.97</v>
      </c>
      <c r="K339" s="14">
        <v>1134</v>
      </c>
      <c r="L339" s="14">
        <v>333</v>
      </c>
      <c r="M339" s="15">
        <v>13.47</v>
      </c>
      <c r="N339" s="17">
        <v>324251.2</v>
      </c>
      <c r="O339" s="17">
        <v>34133.367413170323</v>
      </c>
      <c r="P339" s="17">
        <v>24075.57800035418</v>
      </c>
      <c r="Q339" s="17">
        <v>266042.25458647549</v>
      </c>
      <c r="R339" s="17">
        <v>175399.2</v>
      </c>
      <c r="S339" s="17">
        <v>90643.054586475482</v>
      </c>
      <c r="T339" s="17">
        <v>4485.51</v>
      </c>
    </row>
    <row r="340" spans="1:20" x14ac:dyDescent="0.3">
      <c r="A340" s="13">
        <v>45291</v>
      </c>
      <c r="B340" s="7" t="s">
        <v>113</v>
      </c>
      <c r="C340" s="7" t="s">
        <v>27</v>
      </c>
      <c r="D340" s="7" t="s">
        <v>103</v>
      </c>
      <c r="E340" s="7" t="s">
        <v>30</v>
      </c>
      <c r="F340" s="14">
        <v>1133</v>
      </c>
      <c r="G340" s="15">
        <v>204.59</v>
      </c>
      <c r="H340" s="16">
        <v>6.3780262465653437E-2</v>
      </c>
      <c r="I340" s="16">
        <v>2.0617738479777908E-2</v>
      </c>
      <c r="J340" s="15">
        <v>134.51</v>
      </c>
      <c r="K340" s="14">
        <v>86</v>
      </c>
      <c r="L340" s="14">
        <v>5</v>
      </c>
      <c r="M340" s="15">
        <v>4.54</v>
      </c>
      <c r="N340" s="17">
        <v>231800.47</v>
      </c>
      <c r="O340" s="17">
        <v>14784.29481626182</v>
      </c>
      <c r="P340" s="17">
        <v>4474.382745819983</v>
      </c>
      <c r="Q340" s="17">
        <v>212541.79243791819</v>
      </c>
      <c r="R340" s="17">
        <v>152399.82999999999</v>
      </c>
      <c r="S340" s="17">
        <v>60141.962437918213</v>
      </c>
      <c r="T340" s="17">
        <v>22.7</v>
      </c>
    </row>
    <row r="341" spans="1:20" x14ac:dyDescent="0.3">
      <c r="A341" s="13">
        <v>45291</v>
      </c>
      <c r="B341" s="7" t="s">
        <v>113</v>
      </c>
      <c r="C341" s="7" t="s">
        <v>27</v>
      </c>
      <c r="D341" s="7" t="s">
        <v>104</v>
      </c>
      <c r="E341" s="7" t="s">
        <v>25</v>
      </c>
      <c r="F341" s="14">
        <v>1928</v>
      </c>
      <c r="G341" s="15">
        <v>49.93</v>
      </c>
      <c r="H341" s="16">
        <v>0.1036547509780128</v>
      </c>
      <c r="I341" s="16">
        <v>5.3414759155308807E-2</v>
      </c>
      <c r="J341" s="15">
        <v>22.78</v>
      </c>
      <c r="K341" s="14">
        <v>1408</v>
      </c>
      <c r="L341" s="14">
        <v>598</v>
      </c>
      <c r="M341" s="15">
        <v>29.2</v>
      </c>
      <c r="N341" s="17">
        <v>96265.04</v>
      </c>
      <c r="O341" s="17">
        <v>9978.3287490884413</v>
      </c>
      <c r="P341" s="17">
        <v>4608.9838997711158</v>
      </c>
      <c r="Q341" s="17">
        <v>81677.727351140435</v>
      </c>
      <c r="R341" s="17">
        <v>43919.839999999997</v>
      </c>
      <c r="S341" s="17">
        <v>37757.887351140431</v>
      </c>
      <c r="T341" s="17">
        <v>17461.599999999999</v>
      </c>
    </row>
    <row r="342" spans="1:20" x14ac:dyDescent="0.3">
      <c r="A342" s="13">
        <v>45291</v>
      </c>
      <c r="B342" s="7" t="s">
        <v>113</v>
      </c>
      <c r="C342" s="7" t="s">
        <v>27</v>
      </c>
      <c r="D342" s="7" t="s">
        <v>104</v>
      </c>
      <c r="E342" s="7" t="s">
        <v>28</v>
      </c>
      <c r="F342" s="14">
        <v>1323</v>
      </c>
      <c r="G342" s="15">
        <v>45.9</v>
      </c>
      <c r="H342" s="16">
        <v>0.15576710001058991</v>
      </c>
      <c r="I342" s="16">
        <v>5.2035436532820542E-2</v>
      </c>
      <c r="J342" s="15">
        <v>23.06</v>
      </c>
      <c r="K342" s="14">
        <v>1177</v>
      </c>
      <c r="L342" s="14">
        <v>365</v>
      </c>
      <c r="M342" s="15">
        <v>19.11</v>
      </c>
      <c r="N342" s="17">
        <v>60725.7</v>
      </c>
      <c r="O342" s="17">
        <v>9459.0661851130808</v>
      </c>
      <c r="P342" s="17">
        <v>2667.681670125899</v>
      </c>
      <c r="Q342" s="17">
        <v>48598.952144761017</v>
      </c>
      <c r="R342" s="17">
        <v>30508.38</v>
      </c>
      <c r="S342" s="17">
        <v>18090.572144761019</v>
      </c>
      <c r="T342" s="17">
        <v>6975.15</v>
      </c>
    </row>
    <row r="343" spans="1:20" x14ac:dyDescent="0.3">
      <c r="A343" s="13">
        <v>45291</v>
      </c>
      <c r="B343" s="7" t="s">
        <v>113</v>
      </c>
      <c r="C343" s="7" t="s">
        <v>27</v>
      </c>
      <c r="D343" s="7" t="s">
        <v>104</v>
      </c>
      <c r="E343" s="7" t="s">
        <v>30</v>
      </c>
      <c r="F343" s="14">
        <v>1122</v>
      </c>
      <c r="G343" s="15">
        <v>41.42</v>
      </c>
      <c r="H343" s="16">
        <v>7.0456904020756411E-2</v>
      </c>
      <c r="I343" s="16">
        <v>2.2790697572592531E-2</v>
      </c>
      <c r="J343" s="15">
        <v>21.53</v>
      </c>
      <c r="K343" s="14">
        <v>97</v>
      </c>
      <c r="L343" s="14">
        <v>6</v>
      </c>
      <c r="M343" s="15">
        <v>4.7300000000000004</v>
      </c>
      <c r="N343" s="17">
        <v>46473.240000000013</v>
      </c>
      <c r="O343" s="17">
        <v>3274.3606102135782</v>
      </c>
      <c r="P343" s="17">
        <v>984.53259564752307</v>
      </c>
      <c r="Q343" s="17">
        <v>42214.346794138903</v>
      </c>
      <c r="R343" s="17">
        <v>24156.66</v>
      </c>
      <c r="S343" s="17">
        <v>18057.686794138899</v>
      </c>
      <c r="T343" s="17">
        <v>28.38</v>
      </c>
    </row>
    <row r="344" spans="1:20" x14ac:dyDescent="0.3">
      <c r="A344" s="13">
        <v>45291</v>
      </c>
      <c r="B344" s="7" t="s">
        <v>113</v>
      </c>
      <c r="C344" s="7" t="s">
        <v>29</v>
      </c>
      <c r="D344" s="7" t="s">
        <v>102</v>
      </c>
      <c r="E344" s="7" t="s">
        <v>25</v>
      </c>
      <c r="F344" s="14">
        <v>5264</v>
      </c>
      <c r="G344" s="15">
        <v>116.52</v>
      </c>
      <c r="H344" s="16">
        <v>0.1136989219272591</v>
      </c>
      <c r="I344" s="16">
        <v>5.5730197252148568E-2</v>
      </c>
      <c r="J344" s="15">
        <v>68.87</v>
      </c>
      <c r="K344" s="14">
        <v>3463</v>
      </c>
      <c r="L344" s="14">
        <v>1346</v>
      </c>
      <c r="M344" s="15">
        <v>31.13</v>
      </c>
      <c r="N344" s="17">
        <v>613361.28</v>
      </c>
      <c r="O344" s="17">
        <v>69738.516287923718</v>
      </c>
      <c r="P344" s="17">
        <v>30296.203852432169</v>
      </c>
      <c r="Q344" s="17">
        <v>513326.55985964421</v>
      </c>
      <c r="R344" s="17">
        <v>362531.68000000011</v>
      </c>
      <c r="S344" s="17">
        <v>150794.8798596441</v>
      </c>
      <c r="T344" s="17">
        <v>41900.980000000003</v>
      </c>
    </row>
    <row r="345" spans="1:20" x14ac:dyDescent="0.3">
      <c r="A345" s="13">
        <v>45291</v>
      </c>
      <c r="B345" s="7" t="s">
        <v>113</v>
      </c>
      <c r="C345" s="7" t="s">
        <v>29</v>
      </c>
      <c r="D345" s="7" t="s">
        <v>102</v>
      </c>
      <c r="E345" s="7" t="s">
        <v>28</v>
      </c>
      <c r="F345" s="14">
        <v>2261</v>
      </c>
      <c r="G345" s="15">
        <v>108</v>
      </c>
      <c r="H345" s="16">
        <v>9.9648923971124514E-2</v>
      </c>
      <c r="I345" s="16">
        <v>6.9340668358504026E-2</v>
      </c>
      <c r="J345" s="15">
        <v>71.16</v>
      </c>
      <c r="K345" s="14">
        <v>1850</v>
      </c>
      <c r="L345" s="14">
        <v>561</v>
      </c>
      <c r="M345" s="15">
        <v>15.39</v>
      </c>
      <c r="N345" s="17">
        <v>244188</v>
      </c>
      <c r="O345" s="17">
        <v>24333.07144666095</v>
      </c>
      <c r="P345" s="17">
        <v>15244.887687799681</v>
      </c>
      <c r="Q345" s="17">
        <v>204610.0408655394</v>
      </c>
      <c r="R345" s="17">
        <v>160892.76</v>
      </c>
      <c r="S345" s="17">
        <v>43717.280865539389</v>
      </c>
      <c r="T345" s="17">
        <v>8633.7900000000009</v>
      </c>
    </row>
    <row r="346" spans="1:20" x14ac:dyDescent="0.3">
      <c r="A346" s="13">
        <v>45291</v>
      </c>
      <c r="B346" s="7" t="s">
        <v>113</v>
      </c>
      <c r="C346" s="7" t="s">
        <v>29</v>
      </c>
      <c r="D346" s="7" t="s">
        <v>102</v>
      </c>
      <c r="E346" s="7" t="s">
        <v>30</v>
      </c>
      <c r="F346" s="14">
        <v>2153</v>
      </c>
      <c r="G346" s="15">
        <v>98</v>
      </c>
      <c r="H346" s="16">
        <v>6.9647068070611023E-2</v>
      </c>
      <c r="I346" s="16">
        <v>2.2273704560705671E-2</v>
      </c>
      <c r="J346" s="15">
        <v>68.760000000000005</v>
      </c>
      <c r="K346" s="14">
        <v>175</v>
      </c>
      <c r="L346" s="14">
        <v>11</v>
      </c>
      <c r="M346" s="15">
        <v>4.82</v>
      </c>
      <c r="N346" s="17">
        <v>210994</v>
      </c>
      <c r="O346" s="17">
        <v>14695.1134804905</v>
      </c>
      <c r="P346" s="17">
        <v>4372.3034039310432</v>
      </c>
      <c r="Q346" s="17">
        <v>191926.58311557851</v>
      </c>
      <c r="R346" s="17">
        <v>148040.28</v>
      </c>
      <c r="S346" s="17">
        <v>43886.303115578463</v>
      </c>
      <c r="T346" s="17">
        <v>53.02</v>
      </c>
    </row>
    <row r="347" spans="1:20" x14ac:dyDescent="0.3">
      <c r="A347" s="13">
        <v>45291</v>
      </c>
      <c r="B347" s="7" t="s">
        <v>113</v>
      </c>
      <c r="C347" s="7" t="s">
        <v>29</v>
      </c>
      <c r="D347" s="7" t="s">
        <v>103</v>
      </c>
      <c r="E347" s="7" t="s">
        <v>25</v>
      </c>
      <c r="F347" s="14">
        <v>2207</v>
      </c>
      <c r="G347" s="15">
        <v>206.4</v>
      </c>
      <c r="H347" s="16">
        <v>8.3369424413581583E-2</v>
      </c>
      <c r="I347" s="16">
        <v>3.7151245066303289E-2</v>
      </c>
      <c r="J347" s="15">
        <v>118.81</v>
      </c>
      <c r="K347" s="14">
        <v>1477</v>
      </c>
      <c r="L347" s="14">
        <v>555</v>
      </c>
      <c r="M347" s="15">
        <v>30.61</v>
      </c>
      <c r="N347" s="17">
        <v>455524.8</v>
      </c>
      <c r="O347" s="17">
        <v>37976.84038211187</v>
      </c>
      <c r="P347" s="17">
        <v>15512.42657469907</v>
      </c>
      <c r="Q347" s="17">
        <v>402035.53304318897</v>
      </c>
      <c r="R347" s="17">
        <v>262213.67</v>
      </c>
      <c r="S347" s="17">
        <v>139821.86304318899</v>
      </c>
      <c r="T347" s="17">
        <v>16988.55</v>
      </c>
    </row>
    <row r="348" spans="1:20" x14ac:dyDescent="0.3">
      <c r="A348" s="13">
        <v>45291</v>
      </c>
      <c r="B348" s="7" t="s">
        <v>113</v>
      </c>
      <c r="C348" s="7" t="s">
        <v>29</v>
      </c>
      <c r="D348" s="7" t="s">
        <v>103</v>
      </c>
      <c r="E348" s="7" t="s">
        <v>28</v>
      </c>
      <c r="F348" s="14">
        <v>1030</v>
      </c>
      <c r="G348" s="15">
        <v>198.55</v>
      </c>
      <c r="H348" s="16">
        <v>9.8342384602995395E-2</v>
      </c>
      <c r="I348" s="16">
        <v>4.4369333816353447E-2</v>
      </c>
      <c r="J348" s="15">
        <v>117.98</v>
      </c>
      <c r="K348" s="14">
        <v>875</v>
      </c>
      <c r="L348" s="14">
        <v>276</v>
      </c>
      <c r="M348" s="15">
        <v>16.86</v>
      </c>
      <c r="N348" s="17">
        <v>204506.5</v>
      </c>
      <c r="O348" s="17">
        <v>20111.656876812482</v>
      </c>
      <c r="P348" s="17">
        <v>8181.4763485468338</v>
      </c>
      <c r="Q348" s="17">
        <v>176213.36677464069</v>
      </c>
      <c r="R348" s="17">
        <v>121519.4</v>
      </c>
      <c r="S348" s="17">
        <v>54693.966774640678</v>
      </c>
      <c r="T348" s="17">
        <v>4653.3599999999997</v>
      </c>
    </row>
    <row r="349" spans="1:20" x14ac:dyDescent="0.3">
      <c r="A349" s="13">
        <v>45291</v>
      </c>
      <c r="B349" s="7" t="s">
        <v>113</v>
      </c>
      <c r="C349" s="7" t="s">
        <v>29</v>
      </c>
      <c r="D349" s="7" t="s">
        <v>103</v>
      </c>
      <c r="E349" s="7" t="s">
        <v>30</v>
      </c>
      <c r="F349" s="14">
        <v>725</v>
      </c>
      <c r="G349" s="15">
        <v>176.86</v>
      </c>
      <c r="H349" s="16">
        <v>7.624780939127343E-2</v>
      </c>
      <c r="I349" s="16">
        <v>1.7212884734458391E-2</v>
      </c>
      <c r="J349" s="15">
        <v>118.25</v>
      </c>
      <c r="K349" s="14">
        <v>57</v>
      </c>
      <c r="L349" s="14">
        <v>3</v>
      </c>
      <c r="M349" s="15">
        <v>4.17</v>
      </c>
      <c r="N349" s="17">
        <v>128223.5</v>
      </c>
      <c r="O349" s="17">
        <v>9776.76098748195</v>
      </c>
      <c r="P349" s="17">
        <v>2038.8100657949501</v>
      </c>
      <c r="Q349" s="17">
        <v>116407.9289467231</v>
      </c>
      <c r="R349" s="17">
        <v>85731.25</v>
      </c>
      <c r="S349" s="17">
        <v>30676.67894672311</v>
      </c>
      <c r="T349" s="17">
        <v>12.51</v>
      </c>
    </row>
    <row r="350" spans="1:20" x14ac:dyDescent="0.3">
      <c r="A350" s="13">
        <v>45291</v>
      </c>
      <c r="B350" s="7" t="s">
        <v>113</v>
      </c>
      <c r="C350" s="7" t="s">
        <v>29</v>
      </c>
      <c r="D350" s="7" t="s">
        <v>104</v>
      </c>
      <c r="E350" s="7" t="s">
        <v>25</v>
      </c>
      <c r="F350" s="14">
        <v>1822</v>
      </c>
      <c r="G350" s="15">
        <v>41.96</v>
      </c>
      <c r="H350" s="16">
        <v>8.5144999421891757E-2</v>
      </c>
      <c r="I350" s="16">
        <v>4.3011073391917433E-2</v>
      </c>
      <c r="J350" s="15">
        <v>22.07</v>
      </c>
      <c r="K350" s="14">
        <v>1214</v>
      </c>
      <c r="L350" s="14">
        <v>477</v>
      </c>
      <c r="M350" s="15">
        <v>47.51</v>
      </c>
      <c r="N350" s="17">
        <v>76451.12</v>
      </c>
      <c r="O350" s="17">
        <v>6509.4305682029772</v>
      </c>
      <c r="P350" s="17">
        <v>3008.2671373057169</v>
      </c>
      <c r="Q350" s="17">
        <v>66933.422294491291</v>
      </c>
      <c r="R350" s="17">
        <v>40211.54</v>
      </c>
      <c r="S350" s="17">
        <v>26721.88229449129</v>
      </c>
      <c r="T350" s="17">
        <v>22662.27</v>
      </c>
    </row>
    <row r="351" spans="1:20" x14ac:dyDescent="0.3">
      <c r="A351" s="13">
        <v>45291</v>
      </c>
      <c r="B351" s="7" t="s">
        <v>113</v>
      </c>
      <c r="C351" s="7" t="s">
        <v>29</v>
      </c>
      <c r="D351" s="7" t="s">
        <v>104</v>
      </c>
      <c r="E351" s="7" t="s">
        <v>28</v>
      </c>
      <c r="F351" s="14">
        <v>887</v>
      </c>
      <c r="G351" s="15">
        <v>39.450000000000003</v>
      </c>
      <c r="H351" s="16">
        <v>0.1185492045126583</v>
      </c>
      <c r="I351" s="16">
        <v>4.7504159144988622E-2</v>
      </c>
      <c r="J351" s="15">
        <v>22.55</v>
      </c>
      <c r="K351" s="14">
        <v>709</v>
      </c>
      <c r="L351" s="14">
        <v>211</v>
      </c>
      <c r="M351" s="15">
        <v>16.22</v>
      </c>
      <c r="N351" s="17">
        <v>34992.15</v>
      </c>
      <c r="O351" s="17">
        <v>4148.2915466876166</v>
      </c>
      <c r="P351" s="17">
        <v>1465.211560611654</v>
      </c>
      <c r="Q351" s="17">
        <v>29378.64689270073</v>
      </c>
      <c r="R351" s="17">
        <v>20001.849999999999</v>
      </c>
      <c r="S351" s="17">
        <v>9376.7968927007314</v>
      </c>
      <c r="T351" s="17">
        <v>3422.42</v>
      </c>
    </row>
    <row r="352" spans="1:20" x14ac:dyDescent="0.3">
      <c r="A352" s="13">
        <v>45291</v>
      </c>
      <c r="B352" s="7" t="s">
        <v>113</v>
      </c>
      <c r="C352" s="7" t="s">
        <v>29</v>
      </c>
      <c r="D352" s="7" t="s">
        <v>104</v>
      </c>
      <c r="E352" s="7" t="s">
        <v>30</v>
      </c>
      <c r="F352" s="14">
        <v>653</v>
      </c>
      <c r="G352" s="15">
        <v>35.72</v>
      </c>
      <c r="H352" s="16">
        <v>8.9241848956531616E-2</v>
      </c>
      <c r="I352" s="16">
        <v>2.4070758810591331E-2</v>
      </c>
      <c r="J352" s="15">
        <v>22.27</v>
      </c>
      <c r="K352" s="14">
        <v>53</v>
      </c>
      <c r="L352" s="14">
        <v>4</v>
      </c>
      <c r="M352" s="15">
        <v>5.33</v>
      </c>
      <c r="N352" s="17">
        <v>23325.16</v>
      </c>
      <c r="O352" s="17">
        <v>2081.5804056069328</v>
      </c>
      <c r="P352" s="17">
        <v>511.34908069023521</v>
      </c>
      <c r="Q352" s="17">
        <v>20732.230513702831</v>
      </c>
      <c r="R352" s="17">
        <v>14542.31</v>
      </c>
      <c r="S352" s="17">
        <v>6189.9205137028348</v>
      </c>
      <c r="T352" s="17">
        <v>21.32</v>
      </c>
    </row>
    <row r="353" spans="1:20" x14ac:dyDescent="0.3">
      <c r="A353" s="13">
        <v>45291</v>
      </c>
      <c r="B353" s="7" t="s">
        <v>113</v>
      </c>
      <c r="C353" s="7" t="s">
        <v>31</v>
      </c>
      <c r="D353" s="7" t="s">
        <v>102</v>
      </c>
      <c r="E353" s="7" t="s">
        <v>25</v>
      </c>
      <c r="F353" s="14">
        <v>2459</v>
      </c>
      <c r="G353" s="15">
        <v>110.78</v>
      </c>
      <c r="H353" s="16">
        <v>8.933988802309957E-2</v>
      </c>
      <c r="I353" s="16">
        <v>2.5948101531964252E-2</v>
      </c>
      <c r="J353" s="15">
        <v>67.599999999999994</v>
      </c>
      <c r="K353" s="14">
        <v>1565</v>
      </c>
      <c r="L353" s="14">
        <v>585</v>
      </c>
      <c r="M353" s="15">
        <v>41.82</v>
      </c>
      <c r="N353" s="17">
        <v>272408.02</v>
      </c>
      <c r="O353" s="17">
        <v>24336.902003394269</v>
      </c>
      <c r="P353" s="17">
        <v>6436.9745569238103</v>
      </c>
      <c r="Q353" s="17">
        <v>241634.14343968191</v>
      </c>
      <c r="R353" s="17">
        <v>166228.4</v>
      </c>
      <c r="S353" s="17">
        <v>75405.743439681944</v>
      </c>
      <c r="T353" s="17">
        <v>24464.7</v>
      </c>
    </row>
    <row r="354" spans="1:20" x14ac:dyDescent="0.3">
      <c r="A354" s="13">
        <v>45291</v>
      </c>
      <c r="B354" s="7" t="s">
        <v>113</v>
      </c>
      <c r="C354" s="7" t="s">
        <v>31</v>
      </c>
      <c r="D354" s="7" t="s">
        <v>102</v>
      </c>
      <c r="E354" s="7" t="s">
        <v>28</v>
      </c>
      <c r="F354" s="14">
        <v>1303</v>
      </c>
      <c r="G354" s="15">
        <v>101.04</v>
      </c>
      <c r="H354" s="16">
        <v>8.9330311437119059E-2</v>
      </c>
      <c r="I354" s="16">
        <v>4.6133010178056683E-2</v>
      </c>
      <c r="J354" s="15">
        <v>70.88</v>
      </c>
      <c r="K354" s="14">
        <v>1083</v>
      </c>
      <c r="L354" s="14">
        <v>343</v>
      </c>
      <c r="M354" s="15">
        <v>17.11</v>
      </c>
      <c r="N354" s="17">
        <v>131655.12</v>
      </c>
      <c r="O354" s="17">
        <v>11760.792871891281</v>
      </c>
      <c r="P354" s="17">
        <v>5531.086213692296</v>
      </c>
      <c r="Q354" s="17">
        <v>114363.2409144164</v>
      </c>
      <c r="R354" s="17">
        <v>92356.64</v>
      </c>
      <c r="S354" s="17">
        <v>22006.600914416409</v>
      </c>
      <c r="T354" s="17">
        <v>5868.73</v>
      </c>
    </row>
    <row r="355" spans="1:20" x14ac:dyDescent="0.3">
      <c r="A355" s="13">
        <v>45291</v>
      </c>
      <c r="B355" s="7" t="s">
        <v>113</v>
      </c>
      <c r="C355" s="7" t="s">
        <v>31</v>
      </c>
      <c r="D355" s="7" t="s">
        <v>102</v>
      </c>
      <c r="E355" s="7" t="s">
        <v>30</v>
      </c>
      <c r="F355" s="14">
        <v>797</v>
      </c>
      <c r="G355" s="15">
        <v>92.57</v>
      </c>
      <c r="H355" s="16">
        <v>9.3297192451205421E-2</v>
      </c>
      <c r="I355" s="16">
        <v>1.9204773947999739E-2</v>
      </c>
      <c r="J355" s="15">
        <v>68.31</v>
      </c>
      <c r="K355" s="14">
        <v>66</v>
      </c>
      <c r="L355" s="14">
        <v>4</v>
      </c>
      <c r="M355" s="15">
        <v>3.64</v>
      </c>
      <c r="N355" s="17">
        <v>73778.289999999994</v>
      </c>
      <c r="O355" s="17">
        <v>6883.307320850844</v>
      </c>
      <c r="P355" s="17">
        <v>1284.703020608418</v>
      </c>
      <c r="Q355" s="17">
        <v>65610.279658540734</v>
      </c>
      <c r="R355" s="17">
        <v>54443.07</v>
      </c>
      <c r="S355" s="17">
        <v>11167.209658540731</v>
      </c>
      <c r="T355" s="17">
        <v>14.56</v>
      </c>
    </row>
    <row r="356" spans="1:20" x14ac:dyDescent="0.3">
      <c r="A356" s="13">
        <v>45291</v>
      </c>
      <c r="B356" s="7" t="s">
        <v>113</v>
      </c>
      <c r="C356" s="7" t="s">
        <v>31</v>
      </c>
      <c r="D356" s="7" t="s">
        <v>103</v>
      </c>
      <c r="E356" s="7" t="s">
        <v>25</v>
      </c>
      <c r="F356" s="14">
        <v>1358</v>
      </c>
      <c r="G356" s="15">
        <v>193.43</v>
      </c>
      <c r="H356" s="16">
        <v>8.2050297839027606E-2</v>
      </c>
      <c r="I356" s="16">
        <v>3.1627375689503003E-2</v>
      </c>
      <c r="J356" s="15">
        <v>113.95</v>
      </c>
      <c r="K356" s="14">
        <v>893</v>
      </c>
      <c r="L356" s="14">
        <v>344</v>
      </c>
      <c r="M356" s="15">
        <v>28.89</v>
      </c>
      <c r="N356" s="17">
        <v>262677.94</v>
      </c>
      <c r="O356" s="17">
        <v>21552.803212742219</v>
      </c>
      <c r="P356" s="17">
        <v>7626.1552893534008</v>
      </c>
      <c r="Q356" s="17">
        <v>233498.9814979044</v>
      </c>
      <c r="R356" s="17">
        <v>154744.1</v>
      </c>
      <c r="S356" s="17">
        <v>78754.881497904367</v>
      </c>
      <c r="T356" s="17">
        <v>9938.16</v>
      </c>
    </row>
    <row r="357" spans="1:20" x14ac:dyDescent="0.3">
      <c r="A357" s="13">
        <v>45291</v>
      </c>
      <c r="B357" s="7" t="s">
        <v>113</v>
      </c>
      <c r="C357" s="7" t="s">
        <v>31</v>
      </c>
      <c r="D357" s="7" t="s">
        <v>103</v>
      </c>
      <c r="E357" s="7" t="s">
        <v>28</v>
      </c>
      <c r="F357" s="14">
        <v>429</v>
      </c>
      <c r="G357" s="15">
        <v>187.99</v>
      </c>
      <c r="H357" s="16">
        <v>0.14192326474149999</v>
      </c>
      <c r="I357" s="16">
        <v>5.230205453229906E-2</v>
      </c>
      <c r="J357" s="15">
        <v>113.57</v>
      </c>
      <c r="K357" s="14">
        <v>369</v>
      </c>
      <c r="L357" s="14">
        <v>103</v>
      </c>
      <c r="M357" s="15">
        <v>17.25</v>
      </c>
      <c r="N357" s="17">
        <v>80647.710000000006</v>
      </c>
      <c r="O357" s="17">
        <v>11445.78629712572</v>
      </c>
      <c r="P357" s="17">
        <v>3619.40278724773</v>
      </c>
      <c r="Q357" s="17">
        <v>65582.520915626548</v>
      </c>
      <c r="R357" s="17">
        <v>48721.53</v>
      </c>
      <c r="S357" s="17">
        <v>16860.990915626549</v>
      </c>
      <c r="T357" s="17">
        <v>1776.75</v>
      </c>
    </row>
    <row r="358" spans="1:20" x14ac:dyDescent="0.3">
      <c r="A358" s="13">
        <v>45291</v>
      </c>
      <c r="B358" s="7" t="s">
        <v>113</v>
      </c>
      <c r="C358" s="7" t="s">
        <v>31</v>
      </c>
      <c r="D358" s="7" t="s">
        <v>103</v>
      </c>
      <c r="E358" s="7" t="s">
        <v>30</v>
      </c>
      <c r="F358" s="14">
        <v>468</v>
      </c>
      <c r="G358" s="15">
        <v>165.06</v>
      </c>
      <c r="H358" s="16">
        <v>5.8425932426717557E-2</v>
      </c>
      <c r="I358" s="16">
        <v>2.3406797552214739E-2</v>
      </c>
      <c r="J358" s="15">
        <v>117.49</v>
      </c>
      <c r="K358" s="14">
        <v>39</v>
      </c>
      <c r="L358" s="14">
        <v>2</v>
      </c>
      <c r="M358" s="15">
        <v>4.72</v>
      </c>
      <c r="N358" s="17">
        <v>77248.08</v>
      </c>
      <c r="O358" s="17">
        <v>4513.2911021736718</v>
      </c>
      <c r="P358" s="17">
        <v>1702.488478734497</v>
      </c>
      <c r="Q358" s="17">
        <v>71032.300419091844</v>
      </c>
      <c r="R358" s="17">
        <v>54985.32</v>
      </c>
      <c r="S358" s="17">
        <v>16046.98041909184</v>
      </c>
      <c r="T358" s="17">
        <v>9.44</v>
      </c>
    </row>
    <row r="359" spans="1:20" x14ac:dyDescent="0.3">
      <c r="A359" s="13">
        <v>45291</v>
      </c>
      <c r="B359" s="7" t="s">
        <v>113</v>
      </c>
      <c r="C359" s="7" t="s">
        <v>31</v>
      </c>
      <c r="D359" s="7" t="s">
        <v>104</v>
      </c>
      <c r="E359" s="7" t="s">
        <v>25</v>
      </c>
      <c r="F359" s="14">
        <v>716</v>
      </c>
      <c r="G359" s="15">
        <v>41.93</v>
      </c>
      <c r="H359" s="16">
        <v>8.1396345415111274E-2</v>
      </c>
      <c r="I359" s="16">
        <v>4.4583867035514847E-2</v>
      </c>
      <c r="J359" s="15">
        <v>19.95</v>
      </c>
      <c r="K359" s="14">
        <v>476</v>
      </c>
      <c r="L359" s="14">
        <v>187</v>
      </c>
      <c r="M359" s="15">
        <v>28.63</v>
      </c>
      <c r="N359" s="17">
        <v>30021.88</v>
      </c>
      <c r="O359" s="17">
        <v>2443.6713144910209</v>
      </c>
      <c r="P359" s="17">
        <v>1229.5431891124131</v>
      </c>
      <c r="Q359" s="17">
        <v>26348.66549639657</v>
      </c>
      <c r="R359" s="17">
        <v>14284.2</v>
      </c>
      <c r="S359" s="17">
        <v>12064.46549639657</v>
      </c>
      <c r="T359" s="17">
        <v>5353.8099999999986</v>
      </c>
    </row>
    <row r="360" spans="1:20" x14ac:dyDescent="0.3">
      <c r="A360" s="13">
        <v>45291</v>
      </c>
      <c r="B360" s="7" t="s">
        <v>113</v>
      </c>
      <c r="C360" s="7" t="s">
        <v>31</v>
      </c>
      <c r="D360" s="7" t="s">
        <v>104</v>
      </c>
      <c r="E360" s="7" t="s">
        <v>28</v>
      </c>
      <c r="F360" s="14">
        <v>377</v>
      </c>
      <c r="G360" s="15">
        <v>37.6</v>
      </c>
      <c r="H360" s="16">
        <v>0.1252594691098747</v>
      </c>
      <c r="I360" s="16">
        <v>5.719006472390438E-2</v>
      </c>
      <c r="J360" s="15">
        <v>19.850000000000001</v>
      </c>
      <c r="K360" s="14">
        <v>303</v>
      </c>
      <c r="L360" s="14">
        <v>86</v>
      </c>
      <c r="M360" s="15">
        <v>11.13</v>
      </c>
      <c r="N360" s="17">
        <v>14175.2</v>
      </c>
      <c r="O360" s="17">
        <v>1775.5780265262961</v>
      </c>
      <c r="P360" s="17">
        <v>709.13518321490812</v>
      </c>
      <c r="Q360" s="17">
        <v>11690.486790258799</v>
      </c>
      <c r="R360" s="17">
        <v>7483.4500000000007</v>
      </c>
      <c r="S360" s="17">
        <v>4207.036790258795</v>
      </c>
      <c r="T360" s="17">
        <v>957.18000000000006</v>
      </c>
    </row>
    <row r="361" spans="1:20" x14ac:dyDescent="0.3">
      <c r="A361" s="13">
        <v>45291</v>
      </c>
      <c r="B361" s="7" t="s">
        <v>113</v>
      </c>
      <c r="C361" s="7" t="s">
        <v>31</v>
      </c>
      <c r="D361" s="7" t="s">
        <v>104</v>
      </c>
      <c r="E361" s="7" t="s">
        <v>30</v>
      </c>
      <c r="F361" s="14">
        <v>272</v>
      </c>
      <c r="G361" s="15">
        <v>32.94</v>
      </c>
      <c r="H361" s="16">
        <v>6.4474397506567083E-2</v>
      </c>
      <c r="I361" s="16">
        <v>2.6941688891042238E-2</v>
      </c>
      <c r="J361" s="15">
        <v>21.03</v>
      </c>
      <c r="K361" s="14">
        <v>23</v>
      </c>
      <c r="L361" s="14">
        <v>1</v>
      </c>
      <c r="M361" s="15">
        <v>5.34</v>
      </c>
      <c r="N361" s="17">
        <v>8959.68</v>
      </c>
      <c r="O361" s="17">
        <v>577.66996985163894</v>
      </c>
      <c r="P361" s="17">
        <v>225.8255065138527</v>
      </c>
      <c r="Q361" s="17">
        <v>8156.1845236345089</v>
      </c>
      <c r="R361" s="17">
        <v>5720.16</v>
      </c>
      <c r="S361" s="17">
        <v>2436.024523634509</v>
      </c>
      <c r="T361" s="17">
        <v>5.34</v>
      </c>
    </row>
    <row r="362" spans="1:20" x14ac:dyDescent="0.3">
      <c r="A362" s="13">
        <v>45322</v>
      </c>
      <c r="B362" s="7" t="s">
        <v>114</v>
      </c>
      <c r="C362" s="7" t="s">
        <v>24</v>
      </c>
      <c r="D362" s="7" t="s">
        <v>102</v>
      </c>
      <c r="E362" s="7" t="s">
        <v>25</v>
      </c>
      <c r="F362" s="14">
        <v>4282</v>
      </c>
      <c r="G362" s="15">
        <v>125.22</v>
      </c>
      <c r="H362" s="16">
        <v>9.5336139357926925E-2</v>
      </c>
      <c r="I362" s="16">
        <v>1.915887060501412E-2</v>
      </c>
      <c r="J362" s="15">
        <v>75.11</v>
      </c>
      <c r="K362" s="14">
        <v>3044</v>
      </c>
      <c r="L362" s="14">
        <v>1172</v>
      </c>
      <c r="M362" s="15">
        <v>30.34</v>
      </c>
      <c r="N362" s="17">
        <v>536192.04</v>
      </c>
      <c r="O362" s="17">
        <v>51118.479048051129</v>
      </c>
      <c r="P362" s="17">
        <v>9293.461588191818</v>
      </c>
      <c r="Q362" s="17">
        <v>475780.09936375712</v>
      </c>
      <c r="R362" s="17">
        <v>321621.02</v>
      </c>
      <c r="S362" s="17">
        <v>154159.0793637571</v>
      </c>
      <c r="T362" s="17">
        <v>35558.480000000003</v>
      </c>
    </row>
    <row r="363" spans="1:20" x14ac:dyDescent="0.3">
      <c r="A363" s="13">
        <v>45322</v>
      </c>
      <c r="B363" s="7" t="s">
        <v>114</v>
      </c>
      <c r="C363" s="7" t="s">
        <v>24</v>
      </c>
      <c r="D363" s="7" t="s">
        <v>102</v>
      </c>
      <c r="E363" s="7" t="s">
        <v>28</v>
      </c>
      <c r="F363" s="14">
        <v>3008</v>
      </c>
      <c r="G363" s="15">
        <v>114.57</v>
      </c>
      <c r="H363" s="16">
        <v>9.4448367930235616E-2</v>
      </c>
      <c r="I363" s="16">
        <v>3.7242394549924812E-2</v>
      </c>
      <c r="J363" s="15">
        <v>73.02</v>
      </c>
      <c r="K363" s="14">
        <v>2502</v>
      </c>
      <c r="L363" s="14">
        <v>731</v>
      </c>
      <c r="M363" s="15">
        <v>16.649999999999999</v>
      </c>
      <c r="N363" s="17">
        <v>344626.56</v>
      </c>
      <c r="O363" s="17">
        <v>32549.416137411419</v>
      </c>
      <c r="P363" s="17">
        <v>11622.50012174417</v>
      </c>
      <c r="Q363" s="17">
        <v>300454.64374084439</v>
      </c>
      <c r="R363" s="17">
        <v>219644.16</v>
      </c>
      <c r="S363" s="17">
        <v>80810.483740844415</v>
      </c>
      <c r="T363" s="17">
        <v>12171.15</v>
      </c>
    </row>
    <row r="364" spans="1:20" x14ac:dyDescent="0.3">
      <c r="A364" s="13">
        <v>45322</v>
      </c>
      <c r="B364" s="7" t="s">
        <v>114</v>
      </c>
      <c r="C364" s="7" t="s">
        <v>24</v>
      </c>
      <c r="D364" s="7" t="s">
        <v>102</v>
      </c>
      <c r="E364" s="7" t="s">
        <v>30</v>
      </c>
      <c r="F364" s="14">
        <v>1864</v>
      </c>
      <c r="G364" s="15">
        <v>100.04</v>
      </c>
      <c r="H364" s="16">
        <v>4.2150721709257717E-2</v>
      </c>
      <c r="I364" s="16">
        <v>1.634521862142263E-2</v>
      </c>
      <c r="J364" s="15">
        <v>73.040000000000006</v>
      </c>
      <c r="K364" s="14">
        <v>153</v>
      </c>
      <c r="L364" s="14">
        <v>10</v>
      </c>
      <c r="M364" s="15">
        <v>5.62</v>
      </c>
      <c r="N364" s="17">
        <v>186474.56</v>
      </c>
      <c r="O364" s="17">
        <v>7860.0372844162821</v>
      </c>
      <c r="P364" s="17">
        <v>2919.493422747275</v>
      </c>
      <c r="Q364" s="17">
        <v>175695.02929283641</v>
      </c>
      <c r="R364" s="17">
        <v>136146.56</v>
      </c>
      <c r="S364" s="17">
        <v>39548.469292836438</v>
      </c>
      <c r="T364" s="17">
        <v>56.2</v>
      </c>
    </row>
    <row r="365" spans="1:20" x14ac:dyDescent="0.3">
      <c r="A365" s="13">
        <v>45322</v>
      </c>
      <c r="B365" s="7" t="s">
        <v>114</v>
      </c>
      <c r="C365" s="7" t="s">
        <v>24</v>
      </c>
      <c r="D365" s="7" t="s">
        <v>103</v>
      </c>
      <c r="E365" s="7" t="s">
        <v>25</v>
      </c>
      <c r="F365" s="14">
        <v>3984</v>
      </c>
      <c r="G365" s="15">
        <v>227.25</v>
      </c>
      <c r="H365" s="16">
        <v>7.1662846036767133E-2</v>
      </c>
      <c r="I365" s="16">
        <v>3.2811676123912698E-2</v>
      </c>
      <c r="J365" s="15">
        <v>125.16</v>
      </c>
      <c r="K365" s="14">
        <v>2728</v>
      </c>
      <c r="L365" s="14">
        <v>1078</v>
      </c>
      <c r="M365" s="15">
        <v>30.88</v>
      </c>
      <c r="N365" s="17">
        <v>905364</v>
      </c>
      <c r="O365" s="17">
        <v>64880.960939231642</v>
      </c>
      <c r="P365" s="17">
        <v>27577.657265303791</v>
      </c>
      <c r="Q365" s="17">
        <v>812905.38179546455</v>
      </c>
      <c r="R365" s="17">
        <v>498637.44</v>
      </c>
      <c r="S365" s="17">
        <v>314267.94179546449</v>
      </c>
      <c r="T365" s="17">
        <v>33288.639999999999</v>
      </c>
    </row>
    <row r="366" spans="1:20" x14ac:dyDescent="0.3">
      <c r="A366" s="13">
        <v>45322</v>
      </c>
      <c r="B366" s="7" t="s">
        <v>114</v>
      </c>
      <c r="C366" s="7" t="s">
        <v>24</v>
      </c>
      <c r="D366" s="7" t="s">
        <v>103</v>
      </c>
      <c r="E366" s="7" t="s">
        <v>28</v>
      </c>
      <c r="F366" s="14">
        <v>1283</v>
      </c>
      <c r="G366" s="15">
        <v>212.47</v>
      </c>
      <c r="H366" s="16">
        <v>9.28986279728021E-2</v>
      </c>
      <c r="I366" s="16">
        <v>8.3671770863432762E-2</v>
      </c>
      <c r="J366" s="15">
        <v>126.04</v>
      </c>
      <c r="K366" s="14">
        <v>1073</v>
      </c>
      <c r="L366" s="14">
        <v>327</v>
      </c>
      <c r="M366" s="15">
        <v>20.82</v>
      </c>
      <c r="N366" s="17">
        <v>272599.01</v>
      </c>
      <c r="O366" s="17">
        <v>25324.074015744161</v>
      </c>
      <c r="P366" s="17">
        <v>20689.931783944659</v>
      </c>
      <c r="Q366" s="17">
        <v>226585.0042003112</v>
      </c>
      <c r="R366" s="17">
        <v>161709.32</v>
      </c>
      <c r="S366" s="17">
        <v>64875.684200311203</v>
      </c>
      <c r="T366" s="17">
        <v>6808.14</v>
      </c>
    </row>
    <row r="367" spans="1:20" x14ac:dyDescent="0.3">
      <c r="A367" s="13">
        <v>45322</v>
      </c>
      <c r="B367" s="7" t="s">
        <v>114</v>
      </c>
      <c r="C367" s="7" t="s">
        <v>24</v>
      </c>
      <c r="D367" s="7" t="s">
        <v>103</v>
      </c>
      <c r="E367" s="7" t="s">
        <v>30</v>
      </c>
      <c r="F367" s="14">
        <v>957</v>
      </c>
      <c r="G367" s="15">
        <v>189.96</v>
      </c>
      <c r="H367" s="16">
        <v>4.8836024054505892E-2</v>
      </c>
      <c r="I367" s="16">
        <v>1.6980096870153859E-2</v>
      </c>
      <c r="J367" s="15">
        <v>121.58</v>
      </c>
      <c r="K367" s="14">
        <v>77</v>
      </c>
      <c r="L367" s="14">
        <v>5</v>
      </c>
      <c r="M367" s="15">
        <v>3.52</v>
      </c>
      <c r="N367" s="17">
        <v>181791.72</v>
      </c>
      <c r="O367" s="17">
        <v>8877.9848108299993</v>
      </c>
      <c r="P367" s="17">
        <v>2936.0919736922378</v>
      </c>
      <c r="Q367" s="17">
        <v>169977.64321547779</v>
      </c>
      <c r="R367" s="17">
        <v>116352.06</v>
      </c>
      <c r="S367" s="17">
        <v>53625.58321547776</v>
      </c>
      <c r="T367" s="17">
        <v>17.600000000000001</v>
      </c>
    </row>
    <row r="368" spans="1:20" x14ac:dyDescent="0.3">
      <c r="A368" s="13">
        <v>45322</v>
      </c>
      <c r="B368" s="7" t="s">
        <v>114</v>
      </c>
      <c r="C368" s="7" t="s">
        <v>24</v>
      </c>
      <c r="D368" s="7" t="s">
        <v>104</v>
      </c>
      <c r="E368" s="7" t="s">
        <v>25</v>
      </c>
      <c r="F368" s="14">
        <v>2129</v>
      </c>
      <c r="G368" s="15">
        <v>47.11</v>
      </c>
      <c r="H368" s="16">
        <v>5.8285472046019693E-2</v>
      </c>
      <c r="I368" s="16">
        <v>4.3240570282215611E-2</v>
      </c>
      <c r="J368" s="15">
        <v>21.67</v>
      </c>
      <c r="K368" s="14">
        <v>1527</v>
      </c>
      <c r="L368" s="14">
        <v>564</v>
      </c>
      <c r="M368" s="15">
        <v>32.49</v>
      </c>
      <c r="N368" s="17">
        <v>100297.19</v>
      </c>
      <c r="O368" s="17">
        <v>5845.8690640393261</v>
      </c>
      <c r="P368" s="17">
        <v>4084.12898117951</v>
      </c>
      <c r="Q368" s="17">
        <v>90367.191954781156</v>
      </c>
      <c r="R368" s="17">
        <v>46135.43</v>
      </c>
      <c r="S368" s="17">
        <v>44231.761954781163</v>
      </c>
      <c r="T368" s="17">
        <v>18324.36</v>
      </c>
    </row>
    <row r="369" spans="1:20" x14ac:dyDescent="0.3">
      <c r="A369" s="13">
        <v>45322</v>
      </c>
      <c r="B369" s="7" t="s">
        <v>114</v>
      </c>
      <c r="C369" s="7" t="s">
        <v>24</v>
      </c>
      <c r="D369" s="7" t="s">
        <v>104</v>
      </c>
      <c r="E369" s="7" t="s">
        <v>28</v>
      </c>
      <c r="F369" s="14">
        <v>606</v>
      </c>
      <c r="G369" s="15">
        <v>44.9</v>
      </c>
      <c r="H369" s="16">
        <v>0.1004949992623209</v>
      </c>
      <c r="I369" s="16">
        <v>6.7000064729491202E-2</v>
      </c>
      <c r="J369" s="15">
        <v>23.47</v>
      </c>
      <c r="K369" s="14">
        <v>501</v>
      </c>
      <c r="L369" s="14">
        <v>136</v>
      </c>
      <c r="M369" s="15">
        <v>14.93</v>
      </c>
      <c r="N369" s="17">
        <v>27209.4</v>
      </c>
      <c r="O369" s="17">
        <v>2734.408632928194</v>
      </c>
      <c r="P369" s="17">
        <v>1639.8260058475489</v>
      </c>
      <c r="Q369" s="17">
        <v>22835.165361224259</v>
      </c>
      <c r="R369" s="17">
        <v>14222.82</v>
      </c>
      <c r="S369" s="17">
        <v>8612.3453612242556</v>
      </c>
      <c r="T369" s="17">
        <v>2030.48</v>
      </c>
    </row>
    <row r="370" spans="1:20" x14ac:dyDescent="0.3">
      <c r="A370" s="13">
        <v>45322</v>
      </c>
      <c r="B370" s="7" t="s">
        <v>114</v>
      </c>
      <c r="C370" s="7" t="s">
        <v>24</v>
      </c>
      <c r="D370" s="7" t="s">
        <v>104</v>
      </c>
      <c r="E370" s="7" t="s">
        <v>30</v>
      </c>
      <c r="F370" s="14">
        <v>1138</v>
      </c>
      <c r="G370" s="15">
        <v>39.1</v>
      </c>
      <c r="H370" s="16">
        <v>3.3362238925530197E-2</v>
      </c>
      <c r="I370" s="16">
        <v>1.5877429192361629E-2</v>
      </c>
      <c r="J370" s="15">
        <v>22.03</v>
      </c>
      <c r="K370" s="14">
        <v>98</v>
      </c>
      <c r="L370" s="14">
        <v>6</v>
      </c>
      <c r="M370" s="15">
        <v>4.5199999999999996</v>
      </c>
      <c r="N370" s="17">
        <v>44495.8</v>
      </c>
      <c r="O370" s="17">
        <v>1484.4795107826069</v>
      </c>
      <c r="P370" s="17">
        <v>682.90919553752224</v>
      </c>
      <c r="Q370" s="17">
        <v>42328.411293679877</v>
      </c>
      <c r="R370" s="17">
        <v>25070.14</v>
      </c>
      <c r="S370" s="17">
        <v>17258.271293679871</v>
      </c>
      <c r="T370" s="17">
        <v>27.12</v>
      </c>
    </row>
    <row r="371" spans="1:20" x14ac:dyDescent="0.3">
      <c r="A371" s="13">
        <v>45322</v>
      </c>
      <c r="B371" s="7" t="s">
        <v>114</v>
      </c>
      <c r="C371" s="7" t="s">
        <v>27</v>
      </c>
      <c r="D371" s="7" t="s">
        <v>102</v>
      </c>
      <c r="E371" s="7" t="s">
        <v>25</v>
      </c>
      <c r="F371" s="14">
        <v>3637</v>
      </c>
      <c r="G371" s="15">
        <v>134.72</v>
      </c>
      <c r="H371" s="16">
        <v>5.486683770227687E-2</v>
      </c>
      <c r="I371" s="16">
        <v>2.179396699451483E-2</v>
      </c>
      <c r="J371" s="15">
        <v>74.87</v>
      </c>
      <c r="K371" s="14">
        <v>2631</v>
      </c>
      <c r="L371" s="14">
        <v>984</v>
      </c>
      <c r="M371" s="15">
        <v>20.99</v>
      </c>
      <c r="N371" s="17">
        <v>489976.64</v>
      </c>
      <c r="O371" s="17">
        <v>26883.468784786939</v>
      </c>
      <c r="P371" s="17">
        <v>10092.637288849561</v>
      </c>
      <c r="Q371" s="17">
        <v>453000.53392636351</v>
      </c>
      <c r="R371" s="17">
        <v>272302.19</v>
      </c>
      <c r="S371" s="17">
        <v>180698.34392636351</v>
      </c>
      <c r="T371" s="17">
        <v>20654.16</v>
      </c>
    </row>
    <row r="372" spans="1:20" x14ac:dyDescent="0.3">
      <c r="A372" s="13">
        <v>45322</v>
      </c>
      <c r="B372" s="7" t="s">
        <v>114</v>
      </c>
      <c r="C372" s="7" t="s">
        <v>27</v>
      </c>
      <c r="D372" s="7" t="s">
        <v>102</v>
      </c>
      <c r="E372" s="7" t="s">
        <v>28</v>
      </c>
      <c r="F372" s="14">
        <v>1975</v>
      </c>
      <c r="G372" s="15">
        <v>128.38999999999999</v>
      </c>
      <c r="H372" s="16">
        <v>9.1427676182164977E-2</v>
      </c>
      <c r="I372" s="16">
        <v>7.895560016482002E-2</v>
      </c>
      <c r="J372" s="15">
        <v>72.38</v>
      </c>
      <c r="K372" s="14">
        <v>1556</v>
      </c>
      <c r="L372" s="14">
        <v>522</v>
      </c>
      <c r="M372" s="15">
        <v>19.760000000000002</v>
      </c>
      <c r="N372" s="17">
        <v>253570.25</v>
      </c>
      <c r="O372" s="17">
        <v>23183.338706430619</v>
      </c>
      <c r="P372" s="17">
        <v>18190.33685130292</v>
      </c>
      <c r="Q372" s="17">
        <v>212196.57444226649</v>
      </c>
      <c r="R372" s="17">
        <v>142950.5</v>
      </c>
      <c r="S372" s="17">
        <v>69246.074442266457</v>
      </c>
      <c r="T372" s="17">
        <v>10314.719999999999</v>
      </c>
    </row>
    <row r="373" spans="1:20" x14ac:dyDescent="0.3">
      <c r="A373" s="13">
        <v>45322</v>
      </c>
      <c r="B373" s="7" t="s">
        <v>114</v>
      </c>
      <c r="C373" s="7" t="s">
        <v>27</v>
      </c>
      <c r="D373" s="7" t="s">
        <v>102</v>
      </c>
      <c r="E373" s="7" t="s">
        <v>30</v>
      </c>
      <c r="F373" s="14">
        <v>1658</v>
      </c>
      <c r="G373" s="15">
        <v>111.51</v>
      </c>
      <c r="H373" s="16">
        <v>4.1732341976950138E-2</v>
      </c>
      <c r="I373" s="16">
        <v>1.1725562818858519E-2</v>
      </c>
      <c r="J373" s="15">
        <v>72.13</v>
      </c>
      <c r="K373" s="14">
        <v>140</v>
      </c>
      <c r="L373" s="14">
        <v>9</v>
      </c>
      <c r="M373" s="15">
        <v>4.8899999999999997</v>
      </c>
      <c r="N373" s="17">
        <v>184883.58</v>
      </c>
      <c r="O373" s="17">
        <v>7715.6247864828201</v>
      </c>
      <c r="P373" s="17">
        <v>2077.3939883448079</v>
      </c>
      <c r="Q373" s="17">
        <v>175090.56122517239</v>
      </c>
      <c r="R373" s="17">
        <v>119591.54</v>
      </c>
      <c r="S373" s="17">
        <v>55499.021225172371</v>
      </c>
      <c r="T373" s="17">
        <v>44.01</v>
      </c>
    </row>
    <row r="374" spans="1:20" x14ac:dyDescent="0.3">
      <c r="A374" s="13">
        <v>45322</v>
      </c>
      <c r="B374" s="7" t="s">
        <v>114</v>
      </c>
      <c r="C374" s="7" t="s">
        <v>27</v>
      </c>
      <c r="D374" s="7" t="s">
        <v>103</v>
      </c>
      <c r="E374" s="7" t="s">
        <v>25</v>
      </c>
      <c r="F374" s="14">
        <v>2033</v>
      </c>
      <c r="G374" s="15">
        <v>254.11</v>
      </c>
      <c r="H374" s="16">
        <v>6.5419064883532357E-2</v>
      </c>
      <c r="I374" s="16">
        <v>4.0720368612837447E-2</v>
      </c>
      <c r="J374" s="15">
        <v>126.51</v>
      </c>
      <c r="K374" s="14">
        <v>1339</v>
      </c>
      <c r="L374" s="14">
        <v>582</v>
      </c>
      <c r="M374" s="15">
        <v>26.52</v>
      </c>
      <c r="N374" s="17">
        <v>516605.63</v>
      </c>
      <c r="O374" s="17">
        <v>33795.857228168112</v>
      </c>
      <c r="P374" s="17">
        <v>19660.191917149281</v>
      </c>
      <c r="Q374" s="17">
        <v>463149.5808546826</v>
      </c>
      <c r="R374" s="17">
        <v>257194.83</v>
      </c>
      <c r="S374" s="17">
        <v>205954.75085468261</v>
      </c>
      <c r="T374" s="17">
        <v>15434.64</v>
      </c>
    </row>
    <row r="375" spans="1:20" x14ac:dyDescent="0.3">
      <c r="A375" s="13">
        <v>45322</v>
      </c>
      <c r="B375" s="7" t="s">
        <v>114</v>
      </c>
      <c r="C375" s="7" t="s">
        <v>27</v>
      </c>
      <c r="D375" s="7" t="s">
        <v>103</v>
      </c>
      <c r="E375" s="7" t="s">
        <v>28</v>
      </c>
      <c r="F375" s="14">
        <v>922</v>
      </c>
      <c r="G375" s="15">
        <v>232.06</v>
      </c>
      <c r="H375" s="16">
        <v>8.7904002840865886E-2</v>
      </c>
      <c r="I375" s="16">
        <v>3.1382886631839142E-2</v>
      </c>
      <c r="J375" s="15">
        <v>124.03</v>
      </c>
      <c r="K375" s="14">
        <v>776</v>
      </c>
      <c r="L375" s="14">
        <v>215</v>
      </c>
      <c r="M375" s="15">
        <v>16.66</v>
      </c>
      <c r="N375" s="17">
        <v>213959.32</v>
      </c>
      <c r="O375" s="17">
        <v>18807.880673109728</v>
      </c>
      <c r="P375" s="17">
        <v>6124.4154964360314</v>
      </c>
      <c r="Q375" s="17">
        <v>189027.02383045421</v>
      </c>
      <c r="R375" s="17">
        <v>114355.66</v>
      </c>
      <c r="S375" s="17">
        <v>74671.36383045424</v>
      </c>
      <c r="T375" s="17">
        <v>3581.9</v>
      </c>
    </row>
    <row r="376" spans="1:20" x14ac:dyDescent="0.3">
      <c r="A376" s="13">
        <v>45322</v>
      </c>
      <c r="B376" s="7" t="s">
        <v>114</v>
      </c>
      <c r="C376" s="7" t="s">
        <v>27</v>
      </c>
      <c r="D376" s="7" t="s">
        <v>103</v>
      </c>
      <c r="E376" s="7" t="s">
        <v>30</v>
      </c>
      <c r="F376" s="14">
        <v>1021</v>
      </c>
      <c r="G376" s="15">
        <v>203.2</v>
      </c>
      <c r="H376" s="16">
        <v>3.071617606636981E-2</v>
      </c>
      <c r="I376" s="16">
        <v>2.5413455269435361E-2</v>
      </c>
      <c r="J376" s="15">
        <v>125.52</v>
      </c>
      <c r="K376" s="14">
        <v>87</v>
      </c>
      <c r="L376" s="14">
        <v>5</v>
      </c>
      <c r="M376" s="15">
        <v>4.92</v>
      </c>
      <c r="N376" s="17">
        <v>207467.2</v>
      </c>
      <c r="O376" s="17">
        <v>6372.5990431967584</v>
      </c>
      <c r="P376" s="17">
        <v>5110.5086463406724</v>
      </c>
      <c r="Q376" s="17">
        <v>195984.09231046261</v>
      </c>
      <c r="R376" s="17">
        <v>128155.92</v>
      </c>
      <c r="S376" s="17">
        <v>67828.172310462556</v>
      </c>
      <c r="T376" s="17">
        <v>24.6</v>
      </c>
    </row>
    <row r="377" spans="1:20" x14ac:dyDescent="0.3">
      <c r="A377" s="13">
        <v>45322</v>
      </c>
      <c r="B377" s="7" t="s">
        <v>114</v>
      </c>
      <c r="C377" s="7" t="s">
        <v>27</v>
      </c>
      <c r="D377" s="7" t="s">
        <v>104</v>
      </c>
      <c r="E377" s="7" t="s">
        <v>25</v>
      </c>
      <c r="F377" s="14">
        <v>2030</v>
      </c>
      <c r="G377" s="15">
        <v>49.35</v>
      </c>
      <c r="H377" s="16">
        <v>6.9345409659173851E-2</v>
      </c>
      <c r="I377" s="16">
        <v>2.4806539245231581E-2</v>
      </c>
      <c r="J377" s="15">
        <v>21.36</v>
      </c>
      <c r="K377" s="14">
        <v>1328</v>
      </c>
      <c r="L377" s="14">
        <v>462</v>
      </c>
      <c r="M377" s="15">
        <v>29.4</v>
      </c>
      <c r="N377" s="17">
        <v>100180.5</v>
      </c>
      <c r="O377" s="17">
        <v>6947.0578123608657</v>
      </c>
      <c r="P377" s="17">
        <v>2312.7990425957</v>
      </c>
      <c r="Q377" s="17">
        <v>90920.643145043432</v>
      </c>
      <c r="R377" s="17">
        <v>43360.800000000003</v>
      </c>
      <c r="S377" s="17">
        <v>47559.843145043436</v>
      </c>
      <c r="T377" s="17">
        <v>13582.8</v>
      </c>
    </row>
    <row r="378" spans="1:20" x14ac:dyDescent="0.3">
      <c r="A378" s="13">
        <v>45322</v>
      </c>
      <c r="B378" s="7" t="s">
        <v>114</v>
      </c>
      <c r="C378" s="7" t="s">
        <v>27</v>
      </c>
      <c r="D378" s="7" t="s">
        <v>104</v>
      </c>
      <c r="E378" s="7" t="s">
        <v>28</v>
      </c>
      <c r="F378" s="14">
        <v>803</v>
      </c>
      <c r="G378" s="15">
        <v>46.59</v>
      </c>
      <c r="H378" s="16">
        <v>0.1055776599124526</v>
      </c>
      <c r="I378" s="16">
        <v>3.1953874504568693E-2</v>
      </c>
      <c r="J378" s="15">
        <v>23.07</v>
      </c>
      <c r="K378" s="14">
        <v>701</v>
      </c>
      <c r="L378" s="14">
        <v>204</v>
      </c>
      <c r="M378" s="15">
        <v>18.62</v>
      </c>
      <c r="N378" s="17">
        <v>37411.769999999997</v>
      </c>
      <c r="O378" s="17">
        <v>3949.8471297828969</v>
      </c>
      <c r="P378" s="17">
        <v>1069.238084076474</v>
      </c>
      <c r="Q378" s="17">
        <v>32392.684786140631</v>
      </c>
      <c r="R378" s="17">
        <v>18525.21</v>
      </c>
      <c r="S378" s="17">
        <v>13867.474786140639</v>
      </c>
      <c r="T378" s="17">
        <v>3798.48</v>
      </c>
    </row>
    <row r="379" spans="1:20" x14ac:dyDescent="0.3">
      <c r="A379" s="13">
        <v>45322</v>
      </c>
      <c r="B379" s="7" t="s">
        <v>114</v>
      </c>
      <c r="C379" s="7" t="s">
        <v>27</v>
      </c>
      <c r="D379" s="7" t="s">
        <v>104</v>
      </c>
      <c r="E379" s="7" t="s">
        <v>30</v>
      </c>
      <c r="F379" s="14">
        <v>631</v>
      </c>
      <c r="G379" s="15">
        <v>38.51</v>
      </c>
      <c r="H379" s="16">
        <v>3.6050509525996907E-2</v>
      </c>
      <c r="I379" s="16">
        <v>2.226754356277234E-2</v>
      </c>
      <c r="J379" s="15">
        <v>22.65</v>
      </c>
      <c r="K379" s="14">
        <v>52</v>
      </c>
      <c r="L379" s="14">
        <v>3</v>
      </c>
      <c r="M379" s="15">
        <v>5.05</v>
      </c>
      <c r="N379" s="17">
        <v>24299.81</v>
      </c>
      <c r="O379" s="17">
        <v>876.02053188491504</v>
      </c>
      <c r="P379" s="17">
        <v>521.59025238646052</v>
      </c>
      <c r="Q379" s="17">
        <v>22902.199215728619</v>
      </c>
      <c r="R379" s="17">
        <v>14292.15</v>
      </c>
      <c r="S379" s="17">
        <v>8610.0492157286226</v>
      </c>
      <c r="T379" s="17">
        <v>15.15</v>
      </c>
    </row>
    <row r="380" spans="1:20" x14ac:dyDescent="0.3">
      <c r="A380" s="13">
        <v>45322</v>
      </c>
      <c r="B380" s="7" t="s">
        <v>114</v>
      </c>
      <c r="C380" s="7" t="s">
        <v>29</v>
      </c>
      <c r="D380" s="7" t="s">
        <v>102</v>
      </c>
      <c r="E380" s="7" t="s">
        <v>25</v>
      </c>
      <c r="F380" s="14">
        <v>3745</v>
      </c>
      <c r="G380" s="15">
        <v>114.64</v>
      </c>
      <c r="H380" s="16">
        <v>5.8140498482735579E-2</v>
      </c>
      <c r="I380" s="16">
        <v>4.6102161695892221E-2</v>
      </c>
      <c r="J380" s="15">
        <v>70.31</v>
      </c>
      <c r="K380" s="14">
        <v>2547</v>
      </c>
      <c r="L380" s="14">
        <v>978</v>
      </c>
      <c r="M380" s="15">
        <v>28.62</v>
      </c>
      <c r="N380" s="17">
        <v>429326.8</v>
      </c>
      <c r="O380" s="17">
        <v>24961.274163997721</v>
      </c>
      <c r="P380" s="17">
        <v>18642.12485633586</v>
      </c>
      <c r="Q380" s="17">
        <v>385723.40097966639</v>
      </c>
      <c r="R380" s="17">
        <v>263310.95</v>
      </c>
      <c r="S380" s="17">
        <v>122412.45097966641</v>
      </c>
      <c r="T380" s="17">
        <v>27990.36</v>
      </c>
    </row>
    <row r="381" spans="1:20" x14ac:dyDescent="0.3">
      <c r="A381" s="13">
        <v>45322</v>
      </c>
      <c r="B381" s="7" t="s">
        <v>114</v>
      </c>
      <c r="C381" s="7" t="s">
        <v>29</v>
      </c>
      <c r="D381" s="7" t="s">
        <v>102</v>
      </c>
      <c r="E381" s="7" t="s">
        <v>28</v>
      </c>
      <c r="F381" s="14">
        <v>1636</v>
      </c>
      <c r="G381" s="15">
        <v>113.62</v>
      </c>
      <c r="H381" s="16">
        <v>8.5460561027805526E-2</v>
      </c>
      <c r="I381" s="16">
        <v>6.6382348998603458E-2</v>
      </c>
      <c r="J381" s="15">
        <v>72.5</v>
      </c>
      <c r="K381" s="14">
        <v>1402</v>
      </c>
      <c r="L381" s="14">
        <v>369</v>
      </c>
      <c r="M381" s="15">
        <v>13.56</v>
      </c>
      <c r="N381" s="17">
        <v>185882.32</v>
      </c>
      <c r="O381" s="17">
        <v>15885.60735235008</v>
      </c>
      <c r="P381" s="17">
        <v>11284.7811075916</v>
      </c>
      <c r="Q381" s="17">
        <v>158711.93154005829</v>
      </c>
      <c r="R381" s="17">
        <v>118610</v>
      </c>
      <c r="S381" s="17">
        <v>40101.931540058307</v>
      </c>
      <c r="T381" s="17">
        <v>5003.6400000000003</v>
      </c>
    </row>
    <row r="382" spans="1:20" x14ac:dyDescent="0.3">
      <c r="A382" s="13">
        <v>45322</v>
      </c>
      <c r="B382" s="7" t="s">
        <v>114</v>
      </c>
      <c r="C382" s="7" t="s">
        <v>29</v>
      </c>
      <c r="D382" s="7" t="s">
        <v>102</v>
      </c>
      <c r="E382" s="7" t="s">
        <v>30</v>
      </c>
      <c r="F382" s="14">
        <v>1106</v>
      </c>
      <c r="G382" s="15">
        <v>100.5</v>
      </c>
      <c r="H382" s="16">
        <v>3.4859367437039247E-2</v>
      </c>
      <c r="I382" s="16">
        <v>1.7222266102565671E-2</v>
      </c>
      <c r="J382" s="15">
        <v>70.41</v>
      </c>
      <c r="K382" s="14">
        <v>91</v>
      </c>
      <c r="L382" s="14">
        <v>5</v>
      </c>
      <c r="M382" s="15">
        <v>3.92</v>
      </c>
      <c r="N382" s="17">
        <v>111153</v>
      </c>
      <c r="O382" s="17">
        <v>3874.723268729223</v>
      </c>
      <c r="P382" s="17">
        <v>1847.575028890624</v>
      </c>
      <c r="Q382" s="17">
        <v>105430.7017023801</v>
      </c>
      <c r="R382" s="17">
        <v>77873.459999999992</v>
      </c>
      <c r="S382" s="17">
        <v>27557.24170238015</v>
      </c>
      <c r="T382" s="17">
        <v>19.600000000000001</v>
      </c>
    </row>
    <row r="383" spans="1:20" x14ac:dyDescent="0.3">
      <c r="A383" s="13">
        <v>45322</v>
      </c>
      <c r="B383" s="7" t="s">
        <v>114</v>
      </c>
      <c r="C383" s="7" t="s">
        <v>29</v>
      </c>
      <c r="D383" s="7" t="s">
        <v>103</v>
      </c>
      <c r="E383" s="7" t="s">
        <v>25</v>
      </c>
      <c r="F383" s="14">
        <v>1463</v>
      </c>
      <c r="G383" s="15">
        <v>214.85</v>
      </c>
      <c r="H383" s="16">
        <v>5.5236010987964657E-2</v>
      </c>
      <c r="I383" s="16">
        <v>2.4855296908192329E-2</v>
      </c>
      <c r="J383" s="15">
        <v>121.13</v>
      </c>
      <c r="K383" s="14">
        <v>1022</v>
      </c>
      <c r="L383" s="14">
        <v>381</v>
      </c>
      <c r="M383" s="15">
        <v>42.11</v>
      </c>
      <c r="N383" s="17">
        <v>314325.55</v>
      </c>
      <c r="O383" s="17">
        <v>17362.089533598031</v>
      </c>
      <c r="P383" s="17">
        <v>7381.1149807766551</v>
      </c>
      <c r="Q383" s="17">
        <v>289582.34548562532</v>
      </c>
      <c r="R383" s="17">
        <v>177213.19</v>
      </c>
      <c r="S383" s="17">
        <v>112369.15548562531</v>
      </c>
      <c r="T383" s="17">
        <v>16043.91</v>
      </c>
    </row>
    <row r="384" spans="1:20" x14ac:dyDescent="0.3">
      <c r="A384" s="13">
        <v>45322</v>
      </c>
      <c r="B384" s="7" t="s">
        <v>114</v>
      </c>
      <c r="C384" s="7" t="s">
        <v>29</v>
      </c>
      <c r="D384" s="7" t="s">
        <v>103</v>
      </c>
      <c r="E384" s="7" t="s">
        <v>28</v>
      </c>
      <c r="F384" s="14">
        <v>716</v>
      </c>
      <c r="G384" s="15">
        <v>196.01</v>
      </c>
      <c r="H384" s="16">
        <v>0.11298394788474971</v>
      </c>
      <c r="I384" s="16">
        <v>6.3034931946342021E-2</v>
      </c>
      <c r="J384" s="15">
        <v>125.85</v>
      </c>
      <c r="K384" s="14">
        <v>602</v>
      </c>
      <c r="L384" s="14">
        <v>188</v>
      </c>
      <c r="M384" s="15">
        <v>15.62</v>
      </c>
      <c r="N384" s="17">
        <v>140343.16</v>
      </c>
      <c r="O384" s="17">
        <v>15856.52427542109</v>
      </c>
      <c r="P384" s="17">
        <v>7847.0066111279011</v>
      </c>
      <c r="Q384" s="17">
        <v>116639.629113451</v>
      </c>
      <c r="R384" s="17">
        <v>90108.599999999991</v>
      </c>
      <c r="S384" s="17">
        <v>26531.029113451019</v>
      </c>
      <c r="T384" s="17">
        <v>2936.56</v>
      </c>
    </row>
    <row r="385" spans="1:20" x14ac:dyDescent="0.3">
      <c r="A385" s="13">
        <v>45322</v>
      </c>
      <c r="B385" s="7" t="s">
        <v>114</v>
      </c>
      <c r="C385" s="7" t="s">
        <v>29</v>
      </c>
      <c r="D385" s="7" t="s">
        <v>103</v>
      </c>
      <c r="E385" s="7" t="s">
        <v>30</v>
      </c>
      <c r="F385" s="14">
        <v>792</v>
      </c>
      <c r="G385" s="15">
        <v>177.62</v>
      </c>
      <c r="H385" s="16">
        <v>3.8508828291553297E-2</v>
      </c>
      <c r="I385" s="16">
        <v>2.6002658292369359E-2</v>
      </c>
      <c r="J385" s="15">
        <v>120.48</v>
      </c>
      <c r="K385" s="14">
        <v>68</v>
      </c>
      <c r="L385" s="14">
        <v>4</v>
      </c>
      <c r="M385" s="15">
        <v>3.23</v>
      </c>
      <c r="N385" s="17">
        <v>140675.04</v>
      </c>
      <c r="O385" s="17">
        <v>5417.2309602673931</v>
      </c>
      <c r="P385" s="17">
        <v>3517.0625898347148</v>
      </c>
      <c r="Q385" s="17">
        <v>131740.74644989791</v>
      </c>
      <c r="R385" s="17">
        <v>95420.160000000003</v>
      </c>
      <c r="S385" s="17">
        <v>36320.586449897914</v>
      </c>
      <c r="T385" s="17">
        <v>12.92</v>
      </c>
    </row>
    <row r="386" spans="1:20" x14ac:dyDescent="0.3">
      <c r="A386" s="13">
        <v>45322</v>
      </c>
      <c r="B386" s="7" t="s">
        <v>114</v>
      </c>
      <c r="C386" s="7" t="s">
        <v>29</v>
      </c>
      <c r="D386" s="7" t="s">
        <v>104</v>
      </c>
      <c r="E386" s="7" t="s">
        <v>25</v>
      </c>
      <c r="F386" s="14">
        <v>1028</v>
      </c>
      <c r="G386" s="15">
        <v>43.99</v>
      </c>
      <c r="H386" s="16">
        <v>7.0970737108142959E-2</v>
      </c>
      <c r="I386" s="16">
        <v>2.0488981359613748E-2</v>
      </c>
      <c r="J386" s="15">
        <v>22.09</v>
      </c>
      <c r="K386" s="14">
        <v>704</v>
      </c>
      <c r="L386" s="14">
        <v>272</v>
      </c>
      <c r="M386" s="15">
        <v>21.53</v>
      </c>
      <c r="N386" s="17">
        <v>45221.72</v>
      </c>
      <c r="O386" s="17">
        <v>3209.4188016980511</v>
      </c>
      <c r="P386" s="17">
        <v>860.78925612648709</v>
      </c>
      <c r="Q386" s="17">
        <v>41151.511942175457</v>
      </c>
      <c r="R386" s="17">
        <v>22708.52</v>
      </c>
      <c r="S386" s="17">
        <v>18442.99194217546</v>
      </c>
      <c r="T386" s="17">
        <v>5856.16</v>
      </c>
    </row>
    <row r="387" spans="1:20" x14ac:dyDescent="0.3">
      <c r="A387" s="13">
        <v>45322</v>
      </c>
      <c r="B387" s="7" t="s">
        <v>114</v>
      </c>
      <c r="C387" s="7" t="s">
        <v>29</v>
      </c>
      <c r="D387" s="7" t="s">
        <v>104</v>
      </c>
      <c r="E387" s="7" t="s">
        <v>28</v>
      </c>
      <c r="F387" s="14">
        <v>655</v>
      </c>
      <c r="G387" s="15">
        <v>40.51</v>
      </c>
      <c r="H387" s="16">
        <v>0.1072727765773796</v>
      </c>
      <c r="I387" s="16">
        <v>7.5625869960882761E-2</v>
      </c>
      <c r="J387" s="15">
        <v>22.38</v>
      </c>
      <c r="K387" s="14">
        <v>544</v>
      </c>
      <c r="L387" s="14">
        <v>167</v>
      </c>
      <c r="M387" s="15">
        <v>17.579999999999998</v>
      </c>
      <c r="N387" s="17">
        <v>26534.05</v>
      </c>
      <c r="O387" s="17">
        <v>2846.3812173430201</v>
      </c>
      <c r="P387" s="17">
        <v>1791.400559033679</v>
      </c>
      <c r="Q387" s="17">
        <v>21896.268223623301</v>
      </c>
      <c r="R387" s="17">
        <v>14658.9</v>
      </c>
      <c r="S387" s="17">
        <v>7237.3682236233017</v>
      </c>
      <c r="T387" s="17">
        <v>2935.86</v>
      </c>
    </row>
    <row r="388" spans="1:20" x14ac:dyDescent="0.3">
      <c r="A388" s="13">
        <v>45322</v>
      </c>
      <c r="B388" s="7" t="s">
        <v>114</v>
      </c>
      <c r="C388" s="7" t="s">
        <v>29</v>
      </c>
      <c r="D388" s="7" t="s">
        <v>104</v>
      </c>
      <c r="E388" s="7" t="s">
        <v>30</v>
      </c>
      <c r="F388" s="14">
        <v>507</v>
      </c>
      <c r="G388" s="15">
        <v>37.61</v>
      </c>
      <c r="H388" s="16">
        <v>4.642366335987512E-2</v>
      </c>
      <c r="I388" s="16">
        <v>1.6351987650962949E-2</v>
      </c>
      <c r="J388" s="15">
        <v>22.23</v>
      </c>
      <c r="K388" s="14">
        <v>41</v>
      </c>
      <c r="L388" s="14">
        <v>3</v>
      </c>
      <c r="M388" s="15">
        <v>3.84</v>
      </c>
      <c r="N388" s="17">
        <v>19068.27</v>
      </c>
      <c r="O388" s="17">
        <v>885.21894733520594</v>
      </c>
      <c r="P388" s="17">
        <v>297.32902627000362</v>
      </c>
      <c r="Q388" s="17">
        <v>17885.722026394789</v>
      </c>
      <c r="R388" s="17">
        <v>11270.61</v>
      </c>
      <c r="S388" s="17">
        <v>6615.1120263947923</v>
      </c>
      <c r="T388" s="17">
        <v>11.52</v>
      </c>
    </row>
    <row r="389" spans="1:20" x14ac:dyDescent="0.3">
      <c r="A389" s="13">
        <v>45322</v>
      </c>
      <c r="B389" s="7" t="s">
        <v>114</v>
      </c>
      <c r="C389" s="7" t="s">
        <v>31</v>
      </c>
      <c r="D389" s="7" t="s">
        <v>102</v>
      </c>
      <c r="E389" s="7" t="s">
        <v>25</v>
      </c>
      <c r="F389" s="14">
        <v>1741</v>
      </c>
      <c r="G389" s="15">
        <v>105.65</v>
      </c>
      <c r="H389" s="16">
        <v>5.7451749929306087E-2</v>
      </c>
      <c r="I389" s="16">
        <v>3.6991402528591739E-2</v>
      </c>
      <c r="J389" s="15">
        <v>65.38</v>
      </c>
      <c r="K389" s="14">
        <v>1222</v>
      </c>
      <c r="L389" s="14">
        <v>412</v>
      </c>
      <c r="M389" s="15">
        <v>34.24</v>
      </c>
      <c r="N389" s="17">
        <v>183936.65</v>
      </c>
      <c r="O389" s="17">
        <v>10567.482418634299</v>
      </c>
      <c r="P389" s="17">
        <v>6413.1686640491771</v>
      </c>
      <c r="Q389" s="17">
        <v>166955.99891731661</v>
      </c>
      <c r="R389" s="17">
        <v>113826.58</v>
      </c>
      <c r="S389" s="17">
        <v>53129.418917316572</v>
      </c>
      <c r="T389" s="17">
        <v>14106.88</v>
      </c>
    </row>
    <row r="390" spans="1:20" x14ac:dyDescent="0.3">
      <c r="A390" s="13">
        <v>45322</v>
      </c>
      <c r="B390" s="7" t="s">
        <v>114</v>
      </c>
      <c r="C390" s="7" t="s">
        <v>31</v>
      </c>
      <c r="D390" s="7" t="s">
        <v>102</v>
      </c>
      <c r="E390" s="7" t="s">
        <v>28</v>
      </c>
      <c r="F390" s="14">
        <v>747</v>
      </c>
      <c r="G390" s="15">
        <v>104.96</v>
      </c>
      <c r="H390" s="16">
        <v>0.112347996026692</v>
      </c>
      <c r="I390" s="16">
        <v>5.2746577742301938E-2</v>
      </c>
      <c r="J390" s="15">
        <v>66.599999999999994</v>
      </c>
      <c r="K390" s="14">
        <v>618</v>
      </c>
      <c r="L390" s="14">
        <v>177</v>
      </c>
      <c r="M390" s="15">
        <v>19.59</v>
      </c>
      <c r="N390" s="17">
        <v>78405.119999999995</v>
      </c>
      <c r="O390" s="17">
        <v>8808.6581102323071</v>
      </c>
      <c r="P390" s="17">
        <v>3670.9751876577861</v>
      </c>
      <c r="Q390" s="17">
        <v>65925.486702109905</v>
      </c>
      <c r="R390" s="17">
        <v>49750.2</v>
      </c>
      <c r="S390" s="17">
        <v>16175.28670210991</v>
      </c>
      <c r="T390" s="17">
        <v>3467.43</v>
      </c>
    </row>
    <row r="391" spans="1:20" x14ac:dyDescent="0.3">
      <c r="A391" s="13">
        <v>45322</v>
      </c>
      <c r="B391" s="7" t="s">
        <v>114</v>
      </c>
      <c r="C391" s="7" t="s">
        <v>31</v>
      </c>
      <c r="D391" s="7" t="s">
        <v>102</v>
      </c>
      <c r="E391" s="7" t="s">
        <v>30</v>
      </c>
      <c r="F391" s="14">
        <v>536</v>
      </c>
      <c r="G391" s="15">
        <v>84.97</v>
      </c>
      <c r="H391" s="16">
        <v>4.7909813949116017E-2</v>
      </c>
      <c r="I391" s="16">
        <v>2.0363402621646709E-2</v>
      </c>
      <c r="J391" s="15">
        <v>67</v>
      </c>
      <c r="K391" s="14">
        <v>44</v>
      </c>
      <c r="L391" s="14">
        <v>3</v>
      </c>
      <c r="M391" s="15">
        <v>4.92</v>
      </c>
      <c r="N391" s="17">
        <v>45543.92</v>
      </c>
      <c r="O391" s="17">
        <v>2182.0007337134239</v>
      </c>
      <c r="P391" s="17">
        <v>882.99622046673289</v>
      </c>
      <c r="Q391" s="17">
        <v>42478.923045819844</v>
      </c>
      <c r="R391" s="17">
        <v>35912</v>
      </c>
      <c r="S391" s="17">
        <v>6566.9230458198444</v>
      </c>
      <c r="T391" s="17">
        <v>14.76</v>
      </c>
    </row>
    <row r="392" spans="1:20" x14ac:dyDescent="0.3">
      <c r="A392" s="13">
        <v>45322</v>
      </c>
      <c r="B392" s="7" t="s">
        <v>114</v>
      </c>
      <c r="C392" s="7" t="s">
        <v>31</v>
      </c>
      <c r="D392" s="7" t="s">
        <v>103</v>
      </c>
      <c r="E392" s="7" t="s">
        <v>25</v>
      </c>
      <c r="F392" s="14">
        <v>709</v>
      </c>
      <c r="G392" s="15">
        <v>199.69</v>
      </c>
      <c r="H392" s="16">
        <v>6.3987019174026369E-2</v>
      </c>
      <c r="I392" s="16">
        <v>4.951549770574043E-2</v>
      </c>
      <c r="J392" s="15">
        <v>112.74</v>
      </c>
      <c r="K392" s="14">
        <v>455</v>
      </c>
      <c r="L392" s="14">
        <v>188</v>
      </c>
      <c r="M392" s="15">
        <v>34.729999999999997</v>
      </c>
      <c r="N392" s="17">
        <v>141580.21</v>
      </c>
      <c r="O392" s="17">
        <v>9059.2956119326791</v>
      </c>
      <c r="P392" s="17">
        <v>6561.8390323449712</v>
      </c>
      <c r="Q392" s="17">
        <v>125959.07535572239</v>
      </c>
      <c r="R392" s="17">
        <v>79932.66</v>
      </c>
      <c r="S392" s="17">
        <v>46026.415355722347</v>
      </c>
      <c r="T392" s="17">
        <v>6529.24</v>
      </c>
    </row>
    <row r="393" spans="1:20" x14ac:dyDescent="0.3">
      <c r="A393" s="13">
        <v>45322</v>
      </c>
      <c r="B393" s="7" t="s">
        <v>114</v>
      </c>
      <c r="C393" s="7" t="s">
        <v>31</v>
      </c>
      <c r="D393" s="7" t="s">
        <v>103</v>
      </c>
      <c r="E393" s="7" t="s">
        <v>28</v>
      </c>
      <c r="F393" s="14">
        <v>309</v>
      </c>
      <c r="G393" s="15">
        <v>187.05</v>
      </c>
      <c r="H393" s="16">
        <v>8.1861921146916525E-2</v>
      </c>
      <c r="I393" s="16">
        <v>6.6483944259512318E-2</v>
      </c>
      <c r="J393" s="15">
        <v>117.94</v>
      </c>
      <c r="K393" s="14">
        <v>266</v>
      </c>
      <c r="L393" s="14">
        <v>70</v>
      </c>
      <c r="M393" s="15">
        <v>15.71</v>
      </c>
      <c r="N393" s="17">
        <v>57798.45</v>
      </c>
      <c r="O393" s="17">
        <v>4731.4921563139978</v>
      </c>
      <c r="P393" s="17">
        <v>3528.1006673015099</v>
      </c>
      <c r="Q393" s="17">
        <v>49538.857176384503</v>
      </c>
      <c r="R393" s="17">
        <v>36443.46</v>
      </c>
      <c r="S393" s="17">
        <v>13095.3971763845</v>
      </c>
      <c r="T393" s="17">
        <v>1099.7</v>
      </c>
    </row>
    <row r="394" spans="1:20" x14ac:dyDescent="0.3">
      <c r="A394" s="13">
        <v>45322</v>
      </c>
      <c r="B394" s="7" t="s">
        <v>114</v>
      </c>
      <c r="C394" s="7" t="s">
        <v>31</v>
      </c>
      <c r="D394" s="7" t="s">
        <v>103</v>
      </c>
      <c r="E394" s="7" t="s">
        <v>30</v>
      </c>
      <c r="F394" s="14">
        <v>228</v>
      </c>
      <c r="G394" s="15">
        <v>167.02</v>
      </c>
      <c r="H394" s="16">
        <v>3.7784756797315321E-2</v>
      </c>
      <c r="I394" s="16">
        <v>5.4650589033917929E-3</v>
      </c>
      <c r="J394" s="15">
        <v>114.99</v>
      </c>
      <c r="K394" s="14">
        <v>19</v>
      </c>
      <c r="L394" s="14">
        <v>1</v>
      </c>
      <c r="M394" s="15">
        <v>4.07</v>
      </c>
      <c r="N394" s="17">
        <v>38080.559999999998</v>
      </c>
      <c r="O394" s="17">
        <v>1438.8646983055739</v>
      </c>
      <c r="P394" s="17">
        <v>200.24902314389439</v>
      </c>
      <c r="Q394" s="17">
        <v>36441.446278550538</v>
      </c>
      <c r="R394" s="17">
        <v>26217.72</v>
      </c>
      <c r="S394" s="17">
        <v>10223.726278550541</v>
      </c>
      <c r="T394" s="17">
        <v>4.07</v>
      </c>
    </row>
    <row r="395" spans="1:20" x14ac:dyDescent="0.3">
      <c r="A395" s="13">
        <v>45322</v>
      </c>
      <c r="B395" s="7" t="s">
        <v>114</v>
      </c>
      <c r="C395" s="7" t="s">
        <v>31</v>
      </c>
      <c r="D395" s="7" t="s">
        <v>104</v>
      </c>
      <c r="E395" s="7" t="s">
        <v>25</v>
      </c>
      <c r="F395" s="14">
        <v>426</v>
      </c>
      <c r="G395" s="15">
        <v>42.16</v>
      </c>
      <c r="H395" s="16">
        <v>6.2818660264784817E-2</v>
      </c>
      <c r="I395" s="16">
        <v>3.3934966117842608E-2</v>
      </c>
      <c r="J395" s="15">
        <v>21.61</v>
      </c>
      <c r="K395" s="14">
        <v>279</v>
      </c>
      <c r="L395" s="14">
        <v>107</v>
      </c>
      <c r="M395" s="15">
        <v>29.36</v>
      </c>
      <c r="N395" s="17">
        <v>17960.16</v>
      </c>
      <c r="O395" s="17">
        <v>1128.2331893411781</v>
      </c>
      <c r="P395" s="17">
        <v>571.19086601771369</v>
      </c>
      <c r="Q395" s="17">
        <v>16260.73594464111</v>
      </c>
      <c r="R395" s="17">
        <v>9205.86</v>
      </c>
      <c r="S395" s="17">
        <v>7054.8759446411059</v>
      </c>
      <c r="T395" s="17">
        <v>3141.52</v>
      </c>
    </row>
    <row r="396" spans="1:20" x14ac:dyDescent="0.3">
      <c r="A396" s="13">
        <v>45322</v>
      </c>
      <c r="B396" s="7" t="s">
        <v>114</v>
      </c>
      <c r="C396" s="7" t="s">
        <v>31</v>
      </c>
      <c r="D396" s="7" t="s">
        <v>104</v>
      </c>
      <c r="E396" s="7" t="s">
        <v>28</v>
      </c>
      <c r="F396" s="14">
        <v>229</v>
      </c>
      <c r="G396" s="15">
        <v>37.979999999999997</v>
      </c>
      <c r="H396" s="16">
        <v>9.2133722113921776E-2</v>
      </c>
      <c r="I396" s="16">
        <v>5.8550644949776652E-2</v>
      </c>
      <c r="J396" s="15">
        <v>21.06</v>
      </c>
      <c r="K396" s="14">
        <v>182</v>
      </c>
      <c r="L396" s="14">
        <v>49</v>
      </c>
      <c r="M396" s="15">
        <v>14.94</v>
      </c>
      <c r="N396" s="17">
        <v>8697.42</v>
      </c>
      <c r="O396" s="17">
        <v>801.32567738806551</v>
      </c>
      <c r="P396" s="17">
        <v>462.32141517319849</v>
      </c>
      <c r="Q396" s="17">
        <v>7433.7729074387362</v>
      </c>
      <c r="R396" s="17">
        <v>4822.74</v>
      </c>
      <c r="S396" s="17">
        <v>2611.0329074387359</v>
      </c>
      <c r="T396" s="17">
        <v>732.06</v>
      </c>
    </row>
    <row r="397" spans="1:20" x14ac:dyDescent="0.3">
      <c r="A397" s="13">
        <v>45322</v>
      </c>
      <c r="B397" s="7" t="s">
        <v>114</v>
      </c>
      <c r="C397" s="7" t="s">
        <v>31</v>
      </c>
      <c r="D397" s="7" t="s">
        <v>104</v>
      </c>
      <c r="E397" s="7" t="s">
        <v>30</v>
      </c>
      <c r="F397" s="14">
        <v>232</v>
      </c>
      <c r="G397" s="15">
        <v>32.619999999999997</v>
      </c>
      <c r="H397" s="16">
        <v>3.5485388575881793E-2</v>
      </c>
      <c r="I397" s="16">
        <v>1.266607404692162E-2</v>
      </c>
      <c r="J397" s="15">
        <v>21</v>
      </c>
      <c r="K397" s="14">
        <v>18</v>
      </c>
      <c r="L397" s="14">
        <v>1</v>
      </c>
      <c r="M397" s="15">
        <v>5.88</v>
      </c>
      <c r="N397" s="17">
        <v>7567.8399999999992</v>
      </c>
      <c r="O397" s="17">
        <v>268.54774308010121</v>
      </c>
      <c r="P397" s="17">
        <v>92.453376216269035</v>
      </c>
      <c r="Q397" s="17">
        <v>7206.838880703629</v>
      </c>
      <c r="R397" s="17">
        <v>4872</v>
      </c>
      <c r="S397" s="17">
        <v>2334.838880703629</v>
      </c>
      <c r="T397" s="17">
        <v>5.88</v>
      </c>
    </row>
    <row r="398" spans="1:20" x14ac:dyDescent="0.3">
      <c r="A398" s="13">
        <v>45351</v>
      </c>
      <c r="B398" s="7" t="s">
        <v>115</v>
      </c>
      <c r="C398" s="7" t="s">
        <v>24</v>
      </c>
      <c r="D398" s="7" t="s">
        <v>102</v>
      </c>
      <c r="E398" s="7" t="s">
        <v>25</v>
      </c>
      <c r="F398" s="14">
        <v>8013</v>
      </c>
      <c r="G398" s="15">
        <v>122.99</v>
      </c>
      <c r="H398" s="16">
        <v>5.2978207837942833E-2</v>
      </c>
      <c r="I398" s="16">
        <v>5.3305749040390413E-2</v>
      </c>
      <c r="J398" s="15">
        <v>68.989999999999995</v>
      </c>
      <c r="K398" s="14">
        <v>5642</v>
      </c>
      <c r="L398" s="14">
        <v>2002</v>
      </c>
      <c r="M398" s="15">
        <v>37.15</v>
      </c>
      <c r="N398" s="17">
        <v>985518.87</v>
      </c>
      <c r="O398" s="17">
        <v>52211.02352307456</v>
      </c>
      <c r="P398" s="17">
        <v>49750.673841726202</v>
      </c>
      <c r="Q398" s="17">
        <v>883557.17263519927</v>
      </c>
      <c r="R398" s="17">
        <v>552816.87</v>
      </c>
      <c r="S398" s="17">
        <v>330740.30263519927</v>
      </c>
      <c r="T398" s="17">
        <v>74374.3</v>
      </c>
    </row>
    <row r="399" spans="1:20" x14ac:dyDescent="0.3">
      <c r="A399" s="13">
        <v>45351</v>
      </c>
      <c r="B399" s="7" t="s">
        <v>115</v>
      </c>
      <c r="C399" s="7" t="s">
        <v>24</v>
      </c>
      <c r="D399" s="7" t="s">
        <v>102</v>
      </c>
      <c r="E399" s="7" t="s">
        <v>28</v>
      </c>
      <c r="F399" s="14">
        <v>3587</v>
      </c>
      <c r="G399" s="15">
        <v>118.65</v>
      </c>
      <c r="H399" s="16">
        <v>0.12080229979327441</v>
      </c>
      <c r="I399" s="16">
        <v>5.0735374845994552E-2</v>
      </c>
      <c r="J399" s="15">
        <v>68.260000000000005</v>
      </c>
      <c r="K399" s="14">
        <v>3208</v>
      </c>
      <c r="L399" s="14">
        <v>939</v>
      </c>
      <c r="M399" s="15">
        <v>11.91</v>
      </c>
      <c r="N399" s="17">
        <v>425597.55</v>
      </c>
      <c r="O399" s="17">
        <v>51413.162826383093</v>
      </c>
      <c r="P399" s="17">
        <v>18984.385144772212</v>
      </c>
      <c r="Q399" s="17">
        <v>355200.00202884478</v>
      </c>
      <c r="R399" s="17">
        <v>244848.62</v>
      </c>
      <c r="S399" s="17">
        <v>110351.3820288448</v>
      </c>
      <c r="T399" s="17">
        <v>11183.49</v>
      </c>
    </row>
    <row r="400" spans="1:20" x14ac:dyDescent="0.3">
      <c r="A400" s="13">
        <v>45351</v>
      </c>
      <c r="B400" s="7" t="s">
        <v>115</v>
      </c>
      <c r="C400" s="7" t="s">
        <v>24</v>
      </c>
      <c r="D400" s="7" t="s">
        <v>102</v>
      </c>
      <c r="E400" s="7" t="s">
        <v>30</v>
      </c>
      <c r="F400" s="14">
        <v>2778</v>
      </c>
      <c r="G400" s="15">
        <v>102.81</v>
      </c>
      <c r="H400" s="16">
        <v>4.1111053220979493E-2</v>
      </c>
      <c r="I400" s="16">
        <v>2.212722432092086E-2</v>
      </c>
      <c r="J400" s="15">
        <v>72.03</v>
      </c>
      <c r="K400" s="14">
        <v>214</v>
      </c>
      <c r="L400" s="14">
        <v>13</v>
      </c>
      <c r="M400" s="15">
        <v>6.15</v>
      </c>
      <c r="N400" s="17">
        <v>285606.18</v>
      </c>
      <c r="O400" s="17">
        <v>11741.570866220651</v>
      </c>
      <c r="P400" s="17">
        <v>6059.8636398644476</v>
      </c>
      <c r="Q400" s="17">
        <v>267804.74549391487</v>
      </c>
      <c r="R400" s="17">
        <v>200099.34</v>
      </c>
      <c r="S400" s="17">
        <v>67705.405493914936</v>
      </c>
      <c r="T400" s="17">
        <v>79.95</v>
      </c>
    </row>
    <row r="401" spans="1:20" x14ac:dyDescent="0.3">
      <c r="A401" s="13">
        <v>45351</v>
      </c>
      <c r="B401" s="7" t="s">
        <v>115</v>
      </c>
      <c r="C401" s="7" t="s">
        <v>24</v>
      </c>
      <c r="D401" s="7" t="s">
        <v>103</v>
      </c>
      <c r="E401" s="7" t="s">
        <v>25</v>
      </c>
      <c r="F401" s="14">
        <v>2573</v>
      </c>
      <c r="G401" s="15">
        <v>232.09</v>
      </c>
      <c r="H401" s="16">
        <v>6.8103587295555559E-2</v>
      </c>
      <c r="I401" s="16">
        <v>4.4512253193185088E-2</v>
      </c>
      <c r="J401" s="15">
        <v>127.02</v>
      </c>
      <c r="K401" s="14">
        <v>1726</v>
      </c>
      <c r="L401" s="14">
        <v>625</v>
      </c>
      <c r="M401" s="15">
        <v>25.21</v>
      </c>
      <c r="N401" s="17">
        <v>597167.57000000007</v>
      </c>
      <c r="O401" s="17">
        <v>40669.253733569793</v>
      </c>
      <c r="P401" s="17">
        <v>24770.993955232541</v>
      </c>
      <c r="Q401" s="17">
        <v>531727.32231119776</v>
      </c>
      <c r="R401" s="17">
        <v>326822.46000000002</v>
      </c>
      <c r="S401" s="17">
        <v>204904.86231119779</v>
      </c>
      <c r="T401" s="17">
        <v>15756.25</v>
      </c>
    </row>
    <row r="402" spans="1:20" x14ac:dyDescent="0.3">
      <c r="A402" s="13">
        <v>45351</v>
      </c>
      <c r="B402" s="7" t="s">
        <v>115</v>
      </c>
      <c r="C402" s="7" t="s">
        <v>24</v>
      </c>
      <c r="D402" s="7" t="s">
        <v>103</v>
      </c>
      <c r="E402" s="7" t="s">
        <v>28</v>
      </c>
      <c r="F402" s="14">
        <v>1874</v>
      </c>
      <c r="G402" s="15">
        <v>223.25</v>
      </c>
      <c r="H402" s="16">
        <v>6.7635586696350058E-2</v>
      </c>
      <c r="I402" s="16">
        <v>5.2133277956060223E-2</v>
      </c>
      <c r="J402" s="15">
        <v>119.96</v>
      </c>
      <c r="K402" s="14">
        <v>1657</v>
      </c>
      <c r="L402" s="14">
        <v>519</v>
      </c>
      <c r="M402" s="15">
        <v>20.34</v>
      </c>
      <c r="N402" s="17">
        <v>418370.5</v>
      </c>
      <c r="O402" s="17">
        <v>28296.734223945321</v>
      </c>
      <c r="P402" s="17">
        <v>20335.824054570188</v>
      </c>
      <c r="Q402" s="17">
        <v>369737.94172148447</v>
      </c>
      <c r="R402" s="17">
        <v>224805.04</v>
      </c>
      <c r="S402" s="17">
        <v>144932.90172148461</v>
      </c>
      <c r="T402" s="17">
        <v>10556.46</v>
      </c>
    </row>
    <row r="403" spans="1:20" x14ac:dyDescent="0.3">
      <c r="A403" s="13">
        <v>45351</v>
      </c>
      <c r="B403" s="7" t="s">
        <v>115</v>
      </c>
      <c r="C403" s="7" t="s">
        <v>24</v>
      </c>
      <c r="D403" s="7" t="s">
        <v>103</v>
      </c>
      <c r="E403" s="7" t="s">
        <v>30</v>
      </c>
      <c r="F403" s="14">
        <v>919</v>
      </c>
      <c r="G403" s="15">
        <v>189.68</v>
      </c>
      <c r="H403" s="16">
        <v>4.1702506141969013E-2</v>
      </c>
      <c r="I403" s="16">
        <v>1.506063329549626E-2</v>
      </c>
      <c r="J403" s="15">
        <v>119.55</v>
      </c>
      <c r="K403" s="14">
        <v>79</v>
      </c>
      <c r="L403" s="14">
        <v>5</v>
      </c>
      <c r="M403" s="15">
        <v>6.12</v>
      </c>
      <c r="N403" s="17">
        <v>174315.92</v>
      </c>
      <c r="O403" s="17">
        <v>7269.4107244429788</v>
      </c>
      <c r="P403" s="17">
        <v>2515.826219491878</v>
      </c>
      <c r="Q403" s="17">
        <v>164530.6830560652</v>
      </c>
      <c r="R403" s="17">
        <v>109866.45</v>
      </c>
      <c r="S403" s="17">
        <v>54664.233056065183</v>
      </c>
      <c r="T403" s="17">
        <v>30.6</v>
      </c>
    </row>
    <row r="404" spans="1:20" x14ac:dyDescent="0.3">
      <c r="A404" s="13">
        <v>45351</v>
      </c>
      <c r="B404" s="7" t="s">
        <v>115</v>
      </c>
      <c r="C404" s="7" t="s">
        <v>24</v>
      </c>
      <c r="D404" s="7" t="s">
        <v>104</v>
      </c>
      <c r="E404" s="7" t="s">
        <v>25</v>
      </c>
      <c r="F404" s="14">
        <v>2811</v>
      </c>
      <c r="G404" s="15">
        <v>44.15</v>
      </c>
      <c r="H404" s="16">
        <v>5.0362328231840052E-2</v>
      </c>
      <c r="I404" s="16">
        <v>5.9114190871397243E-2</v>
      </c>
      <c r="J404" s="15">
        <v>21.62</v>
      </c>
      <c r="K404" s="14">
        <v>1936</v>
      </c>
      <c r="L404" s="14">
        <v>717</v>
      </c>
      <c r="M404" s="15">
        <v>33.090000000000003</v>
      </c>
      <c r="N404" s="17">
        <v>124105.65</v>
      </c>
      <c r="O404" s="17">
        <v>6250.249480725859</v>
      </c>
      <c r="P404" s="17">
        <v>6966.9266415213397</v>
      </c>
      <c r="Q404" s="17">
        <v>110888.4738777528</v>
      </c>
      <c r="R404" s="17">
        <v>60773.82</v>
      </c>
      <c r="S404" s="17">
        <v>50114.653877752797</v>
      </c>
      <c r="T404" s="17">
        <v>23725.53</v>
      </c>
    </row>
    <row r="405" spans="1:20" x14ac:dyDescent="0.3">
      <c r="A405" s="13">
        <v>45351</v>
      </c>
      <c r="B405" s="7" t="s">
        <v>115</v>
      </c>
      <c r="C405" s="7" t="s">
        <v>24</v>
      </c>
      <c r="D405" s="7" t="s">
        <v>104</v>
      </c>
      <c r="E405" s="7" t="s">
        <v>28</v>
      </c>
      <c r="F405" s="14">
        <v>1331</v>
      </c>
      <c r="G405" s="15">
        <v>44.74</v>
      </c>
      <c r="H405" s="16">
        <v>9.0168740845747872E-2</v>
      </c>
      <c r="I405" s="16">
        <v>0.1030260458350015</v>
      </c>
      <c r="J405" s="15">
        <v>21.36</v>
      </c>
      <c r="K405" s="14">
        <v>1053</v>
      </c>
      <c r="L405" s="14">
        <v>319</v>
      </c>
      <c r="M405" s="15">
        <v>21.43</v>
      </c>
      <c r="N405" s="17">
        <v>59548.94</v>
      </c>
      <c r="O405" s="17">
        <v>5369.4529384989892</v>
      </c>
      <c r="P405" s="17">
        <v>5581.8983173150746</v>
      </c>
      <c r="Q405" s="17">
        <v>48597.588744185938</v>
      </c>
      <c r="R405" s="17">
        <v>28430.16</v>
      </c>
      <c r="S405" s="17">
        <v>20167.428744185941</v>
      </c>
      <c r="T405" s="17">
        <v>6836.17</v>
      </c>
    </row>
    <row r="406" spans="1:20" x14ac:dyDescent="0.3">
      <c r="A406" s="13">
        <v>45351</v>
      </c>
      <c r="B406" s="7" t="s">
        <v>115</v>
      </c>
      <c r="C406" s="7" t="s">
        <v>24</v>
      </c>
      <c r="D406" s="7" t="s">
        <v>104</v>
      </c>
      <c r="E406" s="7" t="s">
        <v>30</v>
      </c>
      <c r="F406" s="14">
        <v>861</v>
      </c>
      <c r="G406" s="15">
        <v>37.44</v>
      </c>
      <c r="H406" s="16">
        <v>4.1373978354756043E-2</v>
      </c>
      <c r="I406" s="16">
        <v>1.0710492743008559E-2</v>
      </c>
      <c r="J406" s="15">
        <v>22.9</v>
      </c>
      <c r="K406" s="14">
        <v>74</v>
      </c>
      <c r="L406" s="14">
        <v>5</v>
      </c>
      <c r="M406" s="15">
        <v>5.27</v>
      </c>
      <c r="N406" s="17">
        <v>32235.84</v>
      </c>
      <c r="O406" s="17">
        <v>1333.7249464073791</v>
      </c>
      <c r="P406" s="17">
        <v>330.97687902511939</v>
      </c>
      <c r="Q406" s="17">
        <v>30571.138174567499</v>
      </c>
      <c r="R406" s="17">
        <v>19716.900000000001</v>
      </c>
      <c r="S406" s="17">
        <v>10854.238174567499</v>
      </c>
      <c r="T406" s="17">
        <v>26.35</v>
      </c>
    </row>
    <row r="407" spans="1:20" x14ac:dyDescent="0.3">
      <c r="A407" s="13">
        <v>45351</v>
      </c>
      <c r="B407" s="7" t="s">
        <v>115</v>
      </c>
      <c r="C407" s="7" t="s">
        <v>27</v>
      </c>
      <c r="D407" s="7" t="s">
        <v>102</v>
      </c>
      <c r="E407" s="7" t="s">
        <v>25</v>
      </c>
      <c r="F407" s="14">
        <v>5276</v>
      </c>
      <c r="G407" s="15">
        <v>134.44</v>
      </c>
      <c r="H407" s="16">
        <v>5.2070384970048372E-2</v>
      </c>
      <c r="I407" s="16">
        <v>3.2877792363509489E-2</v>
      </c>
      <c r="J407" s="15">
        <v>77.069999999999993</v>
      </c>
      <c r="K407" s="14">
        <v>3793</v>
      </c>
      <c r="L407" s="14">
        <v>1473</v>
      </c>
      <c r="M407" s="15">
        <v>40.270000000000003</v>
      </c>
      <c r="N407" s="17">
        <v>709305.44</v>
      </c>
      <c r="O407" s="17">
        <v>36933.807322149543</v>
      </c>
      <c r="P407" s="17">
        <v>22106.09493029624</v>
      </c>
      <c r="Q407" s="17">
        <v>650265.53774755425</v>
      </c>
      <c r="R407" s="17">
        <v>406621.31999999989</v>
      </c>
      <c r="S407" s="17">
        <v>243644.2177475543</v>
      </c>
      <c r="T407" s="17">
        <v>59317.710000000006</v>
      </c>
    </row>
    <row r="408" spans="1:20" x14ac:dyDescent="0.3">
      <c r="A408" s="13">
        <v>45351</v>
      </c>
      <c r="B408" s="7" t="s">
        <v>115</v>
      </c>
      <c r="C408" s="7" t="s">
        <v>27</v>
      </c>
      <c r="D408" s="7" t="s">
        <v>102</v>
      </c>
      <c r="E408" s="7" t="s">
        <v>28</v>
      </c>
      <c r="F408" s="14">
        <v>2048</v>
      </c>
      <c r="G408" s="15">
        <v>129.6</v>
      </c>
      <c r="H408" s="16">
        <v>9.8983127119839004E-2</v>
      </c>
      <c r="I408" s="16">
        <v>8.9118261546956221E-2</v>
      </c>
      <c r="J408" s="15">
        <v>72.459999999999994</v>
      </c>
      <c r="K408" s="14">
        <v>1710</v>
      </c>
      <c r="L408" s="14">
        <v>485</v>
      </c>
      <c r="M408" s="15">
        <v>16.78</v>
      </c>
      <c r="N408" s="17">
        <v>265420.79999999999</v>
      </c>
      <c r="O408" s="17">
        <v>26272.180786649358</v>
      </c>
      <c r="P408" s="17">
        <v>21312.509195648821</v>
      </c>
      <c r="Q408" s="17">
        <v>217836.11001770181</v>
      </c>
      <c r="R408" s="17">
        <v>148398.07999999999</v>
      </c>
      <c r="S408" s="17">
        <v>69438.030017701822</v>
      </c>
      <c r="T408" s="17">
        <v>8138.3</v>
      </c>
    </row>
    <row r="409" spans="1:20" x14ac:dyDescent="0.3">
      <c r="A409" s="13">
        <v>45351</v>
      </c>
      <c r="B409" s="7" t="s">
        <v>115</v>
      </c>
      <c r="C409" s="7" t="s">
        <v>27</v>
      </c>
      <c r="D409" s="7" t="s">
        <v>102</v>
      </c>
      <c r="E409" s="7" t="s">
        <v>30</v>
      </c>
      <c r="F409" s="14">
        <v>1783</v>
      </c>
      <c r="G409" s="15">
        <v>107.44</v>
      </c>
      <c r="H409" s="16">
        <v>4.5288445173541428E-2</v>
      </c>
      <c r="I409" s="16">
        <v>2.3605676812727908E-2</v>
      </c>
      <c r="J409" s="15">
        <v>72.37</v>
      </c>
      <c r="K409" s="14">
        <v>152</v>
      </c>
      <c r="L409" s="14">
        <v>9</v>
      </c>
      <c r="M409" s="15">
        <v>6.22</v>
      </c>
      <c r="N409" s="17">
        <v>191565.52</v>
      </c>
      <c r="O409" s="17">
        <v>8675.7045496609535</v>
      </c>
      <c r="P409" s="17">
        <v>4317.2378758601544</v>
      </c>
      <c r="Q409" s="17">
        <v>178572.5775744789</v>
      </c>
      <c r="R409" s="17">
        <v>129035.71</v>
      </c>
      <c r="S409" s="17">
        <v>49536.867574478863</v>
      </c>
      <c r="T409" s="17">
        <v>55.98</v>
      </c>
    </row>
    <row r="410" spans="1:20" x14ac:dyDescent="0.3">
      <c r="A410" s="13">
        <v>45351</v>
      </c>
      <c r="B410" s="7" t="s">
        <v>115</v>
      </c>
      <c r="C410" s="7" t="s">
        <v>27</v>
      </c>
      <c r="D410" s="7" t="s">
        <v>103</v>
      </c>
      <c r="E410" s="7" t="s">
        <v>25</v>
      </c>
      <c r="F410" s="14">
        <v>2639</v>
      </c>
      <c r="G410" s="15">
        <v>248.96</v>
      </c>
      <c r="H410" s="16">
        <v>5.2244672367693673E-2</v>
      </c>
      <c r="I410" s="16">
        <v>4.0300314791640819E-2</v>
      </c>
      <c r="J410" s="15">
        <v>119.34</v>
      </c>
      <c r="K410" s="14">
        <v>1830</v>
      </c>
      <c r="L410" s="14">
        <v>699</v>
      </c>
      <c r="M410" s="15">
        <v>37.049999999999997</v>
      </c>
      <c r="N410" s="17">
        <v>657005.44000000006</v>
      </c>
      <c r="O410" s="17">
        <v>34325.03395659243</v>
      </c>
      <c r="P410" s="17">
        <v>25094.21637813605</v>
      </c>
      <c r="Q410" s="17">
        <v>597586.18966527155</v>
      </c>
      <c r="R410" s="17">
        <v>314938.26</v>
      </c>
      <c r="S410" s="17">
        <v>282647.92966527148</v>
      </c>
      <c r="T410" s="17">
        <v>25897.95</v>
      </c>
    </row>
    <row r="411" spans="1:20" x14ac:dyDescent="0.3">
      <c r="A411" s="13">
        <v>45351</v>
      </c>
      <c r="B411" s="7" t="s">
        <v>115</v>
      </c>
      <c r="C411" s="7" t="s">
        <v>27</v>
      </c>
      <c r="D411" s="7" t="s">
        <v>103</v>
      </c>
      <c r="E411" s="7" t="s">
        <v>28</v>
      </c>
      <c r="F411" s="14">
        <v>734</v>
      </c>
      <c r="G411" s="15">
        <v>229.6</v>
      </c>
      <c r="H411" s="16">
        <v>8.1525592267859173E-2</v>
      </c>
      <c r="I411" s="16">
        <v>5.5679416891168863E-2</v>
      </c>
      <c r="J411" s="15">
        <v>133</v>
      </c>
      <c r="K411" s="14">
        <v>648</v>
      </c>
      <c r="L411" s="14">
        <v>191</v>
      </c>
      <c r="M411" s="15">
        <v>9.94</v>
      </c>
      <c r="N411" s="17">
        <v>168526.4</v>
      </c>
      <c r="O411" s="17">
        <v>13739.214572770141</v>
      </c>
      <c r="P411" s="17">
        <v>8618.4602268133876</v>
      </c>
      <c r="Q411" s="17">
        <v>146168.72520041649</v>
      </c>
      <c r="R411" s="17">
        <v>97622</v>
      </c>
      <c r="S411" s="17">
        <v>48546.725200416462</v>
      </c>
      <c r="T411" s="17">
        <v>1898.54</v>
      </c>
    </row>
    <row r="412" spans="1:20" x14ac:dyDescent="0.3">
      <c r="A412" s="13">
        <v>45351</v>
      </c>
      <c r="B412" s="7" t="s">
        <v>115</v>
      </c>
      <c r="C412" s="7" t="s">
        <v>27</v>
      </c>
      <c r="D412" s="7" t="s">
        <v>103</v>
      </c>
      <c r="E412" s="7" t="s">
        <v>30</v>
      </c>
      <c r="F412" s="14">
        <v>978</v>
      </c>
      <c r="G412" s="15">
        <v>195.95</v>
      </c>
      <c r="H412" s="16">
        <v>5.0058358163249217E-2</v>
      </c>
      <c r="I412" s="16">
        <v>1.5272465600286351E-2</v>
      </c>
      <c r="J412" s="15">
        <v>123.16</v>
      </c>
      <c r="K412" s="14">
        <v>83</v>
      </c>
      <c r="L412" s="14">
        <v>5</v>
      </c>
      <c r="M412" s="15">
        <v>6.02</v>
      </c>
      <c r="N412" s="17">
        <v>191639.1</v>
      </c>
      <c r="O412" s="17">
        <v>9593.1387058827313</v>
      </c>
      <c r="P412" s="17">
        <v>2780.290681535465</v>
      </c>
      <c r="Q412" s="17">
        <v>179265.6706125818</v>
      </c>
      <c r="R412" s="17">
        <v>120450.48</v>
      </c>
      <c r="S412" s="17">
        <v>58815.190612581777</v>
      </c>
      <c r="T412" s="17">
        <v>30.1</v>
      </c>
    </row>
    <row r="413" spans="1:20" x14ac:dyDescent="0.3">
      <c r="A413" s="13">
        <v>45351</v>
      </c>
      <c r="B413" s="7" t="s">
        <v>115</v>
      </c>
      <c r="C413" s="7" t="s">
        <v>27</v>
      </c>
      <c r="D413" s="7" t="s">
        <v>104</v>
      </c>
      <c r="E413" s="7" t="s">
        <v>25</v>
      </c>
      <c r="F413" s="14">
        <v>1818</v>
      </c>
      <c r="G413" s="15">
        <v>48.94</v>
      </c>
      <c r="H413" s="16">
        <v>6.9907392585803446E-2</v>
      </c>
      <c r="I413" s="16">
        <v>5.0613709648731339E-2</v>
      </c>
      <c r="J413" s="15">
        <v>23.76</v>
      </c>
      <c r="K413" s="14">
        <v>1207</v>
      </c>
      <c r="L413" s="14">
        <v>465</v>
      </c>
      <c r="M413" s="15">
        <v>34.08</v>
      </c>
      <c r="N413" s="17">
        <v>88972.92</v>
      </c>
      <c r="O413" s="17">
        <v>6219.8648479452831</v>
      </c>
      <c r="P413" s="17">
        <v>4188.4391060115486</v>
      </c>
      <c r="Q413" s="17">
        <v>78564.616046043171</v>
      </c>
      <c r="R413" s="17">
        <v>43195.68</v>
      </c>
      <c r="S413" s="17">
        <v>35368.936046043171</v>
      </c>
      <c r="T413" s="17">
        <v>15847.2</v>
      </c>
    </row>
    <row r="414" spans="1:20" x14ac:dyDescent="0.3">
      <c r="A414" s="13">
        <v>45351</v>
      </c>
      <c r="B414" s="7" t="s">
        <v>115</v>
      </c>
      <c r="C414" s="7" t="s">
        <v>27</v>
      </c>
      <c r="D414" s="7" t="s">
        <v>104</v>
      </c>
      <c r="E414" s="7" t="s">
        <v>28</v>
      </c>
      <c r="F414" s="14">
        <v>1067</v>
      </c>
      <c r="G414" s="15">
        <v>47.74</v>
      </c>
      <c r="H414" s="16">
        <v>0.118161635168751</v>
      </c>
      <c r="I414" s="16">
        <v>4.4778607602212223E-2</v>
      </c>
      <c r="J414" s="15">
        <v>23.13</v>
      </c>
      <c r="K414" s="14">
        <v>889</v>
      </c>
      <c r="L414" s="14">
        <v>248</v>
      </c>
      <c r="M414" s="15">
        <v>19.350000000000001</v>
      </c>
      <c r="N414" s="17">
        <v>50938.58</v>
      </c>
      <c r="O414" s="17">
        <v>6018.9859059742384</v>
      </c>
      <c r="P414" s="17">
        <v>2011.4368775870289</v>
      </c>
      <c r="Q414" s="17">
        <v>42908.157216438733</v>
      </c>
      <c r="R414" s="17">
        <v>24679.71</v>
      </c>
      <c r="S414" s="17">
        <v>18228.44721643873</v>
      </c>
      <c r="T414" s="17">
        <v>4798.8</v>
      </c>
    </row>
    <row r="415" spans="1:20" x14ac:dyDescent="0.3">
      <c r="A415" s="13">
        <v>45351</v>
      </c>
      <c r="B415" s="7" t="s">
        <v>115</v>
      </c>
      <c r="C415" s="7" t="s">
        <v>27</v>
      </c>
      <c r="D415" s="7" t="s">
        <v>104</v>
      </c>
      <c r="E415" s="7" t="s">
        <v>30</v>
      </c>
      <c r="F415" s="14">
        <v>616</v>
      </c>
      <c r="G415" s="15">
        <v>43.58</v>
      </c>
      <c r="H415" s="16">
        <v>4.1176788754143441E-2</v>
      </c>
      <c r="I415" s="16">
        <v>1.547965855132E-2</v>
      </c>
      <c r="J415" s="15">
        <v>22.3</v>
      </c>
      <c r="K415" s="14">
        <v>49</v>
      </c>
      <c r="L415" s="14">
        <v>3</v>
      </c>
      <c r="M415" s="15">
        <v>5.23</v>
      </c>
      <c r="N415" s="17">
        <v>26845.279999999999</v>
      </c>
      <c r="O415" s="17">
        <v>1105.4024236058319</v>
      </c>
      <c r="P415" s="17">
        <v>398.44451603535992</v>
      </c>
      <c r="Q415" s="17">
        <v>25341.43306035881</v>
      </c>
      <c r="R415" s="17">
        <v>13736.8</v>
      </c>
      <c r="S415" s="17">
        <v>11604.633060358799</v>
      </c>
      <c r="T415" s="17">
        <v>15.69</v>
      </c>
    </row>
    <row r="416" spans="1:20" x14ac:dyDescent="0.3">
      <c r="A416" s="13">
        <v>45351</v>
      </c>
      <c r="B416" s="7" t="s">
        <v>115</v>
      </c>
      <c r="C416" s="7" t="s">
        <v>29</v>
      </c>
      <c r="D416" s="7" t="s">
        <v>102</v>
      </c>
      <c r="E416" s="7" t="s">
        <v>25</v>
      </c>
      <c r="F416" s="14">
        <v>4508</v>
      </c>
      <c r="G416" s="15">
        <v>116.08</v>
      </c>
      <c r="H416" s="16">
        <v>5.0170527305537192E-2</v>
      </c>
      <c r="I416" s="16">
        <v>4.8347513263248827E-2</v>
      </c>
      <c r="J416" s="15">
        <v>72.05</v>
      </c>
      <c r="K416" s="14">
        <v>3168</v>
      </c>
      <c r="L416" s="14">
        <v>1204</v>
      </c>
      <c r="M416" s="15">
        <v>23.1</v>
      </c>
      <c r="N416" s="17">
        <v>523288.64</v>
      </c>
      <c r="O416" s="17">
        <v>26253.667001797421</v>
      </c>
      <c r="P416" s="17">
        <v>24030.40494932912</v>
      </c>
      <c r="Q416" s="17">
        <v>473004.56804887351</v>
      </c>
      <c r="R416" s="17">
        <v>324801.40000000002</v>
      </c>
      <c r="S416" s="17">
        <v>148203.16804887349</v>
      </c>
      <c r="T416" s="17">
        <v>27812.400000000001</v>
      </c>
    </row>
    <row r="417" spans="1:20" x14ac:dyDescent="0.3">
      <c r="A417" s="13">
        <v>45351</v>
      </c>
      <c r="B417" s="7" t="s">
        <v>115</v>
      </c>
      <c r="C417" s="7" t="s">
        <v>29</v>
      </c>
      <c r="D417" s="7" t="s">
        <v>102</v>
      </c>
      <c r="E417" s="7" t="s">
        <v>28</v>
      </c>
      <c r="F417" s="14">
        <v>2236</v>
      </c>
      <c r="G417" s="15">
        <v>107.03</v>
      </c>
      <c r="H417" s="16">
        <v>7.1561373901891573E-2</v>
      </c>
      <c r="I417" s="16">
        <v>5.7765460353490547E-2</v>
      </c>
      <c r="J417" s="15">
        <v>71.180000000000007</v>
      </c>
      <c r="K417" s="14">
        <v>1906</v>
      </c>
      <c r="L417" s="14">
        <v>620</v>
      </c>
      <c r="M417" s="15">
        <v>23.82</v>
      </c>
      <c r="N417" s="17">
        <v>239319.08</v>
      </c>
      <c r="O417" s="17">
        <v>17126.0021657367</v>
      </c>
      <c r="P417" s="17">
        <v>12835.085428455181</v>
      </c>
      <c r="Q417" s="17">
        <v>209357.99240580821</v>
      </c>
      <c r="R417" s="17">
        <v>159158.48000000001</v>
      </c>
      <c r="S417" s="17">
        <v>50199.512405808142</v>
      </c>
      <c r="T417" s="17">
        <v>14768.4</v>
      </c>
    </row>
    <row r="418" spans="1:20" x14ac:dyDescent="0.3">
      <c r="A418" s="13">
        <v>45351</v>
      </c>
      <c r="B418" s="7" t="s">
        <v>115</v>
      </c>
      <c r="C418" s="7" t="s">
        <v>29</v>
      </c>
      <c r="D418" s="7" t="s">
        <v>102</v>
      </c>
      <c r="E418" s="7" t="s">
        <v>30</v>
      </c>
      <c r="F418" s="14">
        <v>1526</v>
      </c>
      <c r="G418" s="15">
        <v>99.58</v>
      </c>
      <c r="H418" s="16">
        <v>3.4211767445495707E-2</v>
      </c>
      <c r="I418" s="16">
        <v>2.8142342773861611E-2</v>
      </c>
      <c r="J418" s="15">
        <v>69.53</v>
      </c>
      <c r="K418" s="14">
        <v>126</v>
      </c>
      <c r="L418" s="14">
        <v>7</v>
      </c>
      <c r="M418" s="15">
        <v>6.43</v>
      </c>
      <c r="N418" s="17">
        <v>151959.07999999999</v>
      </c>
      <c r="O418" s="17">
        <v>5198.788706191478</v>
      </c>
      <c r="P418" s="17">
        <v>4130.1784231821384</v>
      </c>
      <c r="Q418" s="17">
        <v>142630.11287062641</v>
      </c>
      <c r="R418" s="17">
        <v>106102.78</v>
      </c>
      <c r="S418" s="17">
        <v>36527.332870626393</v>
      </c>
      <c r="T418" s="17">
        <v>45.01</v>
      </c>
    </row>
    <row r="419" spans="1:20" x14ac:dyDescent="0.3">
      <c r="A419" s="13">
        <v>45351</v>
      </c>
      <c r="B419" s="7" t="s">
        <v>115</v>
      </c>
      <c r="C419" s="7" t="s">
        <v>29</v>
      </c>
      <c r="D419" s="7" t="s">
        <v>103</v>
      </c>
      <c r="E419" s="7" t="s">
        <v>25</v>
      </c>
      <c r="F419" s="14">
        <v>1898</v>
      </c>
      <c r="G419" s="15">
        <v>214.16</v>
      </c>
      <c r="H419" s="16">
        <v>6.385485023137713E-2</v>
      </c>
      <c r="I419" s="16">
        <v>4.0771564962177168E-2</v>
      </c>
      <c r="J419" s="15">
        <v>118.07</v>
      </c>
      <c r="K419" s="14">
        <v>1302</v>
      </c>
      <c r="L419" s="14">
        <v>479</v>
      </c>
      <c r="M419" s="15">
        <v>31.05</v>
      </c>
      <c r="N419" s="17">
        <v>406475.68</v>
      </c>
      <c r="O419" s="17">
        <v>25955.443669097171</v>
      </c>
      <c r="P419" s="17">
        <v>15514.40553498842</v>
      </c>
      <c r="Q419" s="17">
        <v>365005.8307959144</v>
      </c>
      <c r="R419" s="17">
        <v>224096.86</v>
      </c>
      <c r="S419" s="17">
        <v>140908.97079591441</v>
      </c>
      <c r="T419" s="17">
        <v>14872.95</v>
      </c>
    </row>
    <row r="420" spans="1:20" x14ac:dyDescent="0.3">
      <c r="A420" s="13">
        <v>45351</v>
      </c>
      <c r="B420" s="7" t="s">
        <v>115</v>
      </c>
      <c r="C420" s="7" t="s">
        <v>29</v>
      </c>
      <c r="D420" s="7" t="s">
        <v>103</v>
      </c>
      <c r="E420" s="7" t="s">
        <v>28</v>
      </c>
      <c r="F420" s="14">
        <v>774</v>
      </c>
      <c r="G420" s="15">
        <v>198.07</v>
      </c>
      <c r="H420" s="16">
        <v>7.4430012556722436E-2</v>
      </c>
      <c r="I420" s="16">
        <v>3.4689834793339341E-2</v>
      </c>
      <c r="J420" s="15">
        <v>113.74</v>
      </c>
      <c r="K420" s="14">
        <v>590</v>
      </c>
      <c r="L420" s="14">
        <v>182</v>
      </c>
      <c r="M420" s="15">
        <v>13.61</v>
      </c>
      <c r="N420" s="17">
        <v>153306.18</v>
      </c>
      <c r="O420" s="17">
        <v>11410.580902423149</v>
      </c>
      <c r="P420" s="17">
        <v>4922.3348905968514</v>
      </c>
      <c r="Q420" s="17">
        <v>136973.26420698001</v>
      </c>
      <c r="R420" s="17">
        <v>88034.76</v>
      </c>
      <c r="S420" s="17">
        <v>48938.504206979982</v>
      </c>
      <c r="T420" s="17">
        <v>2477.02</v>
      </c>
    </row>
    <row r="421" spans="1:20" x14ac:dyDescent="0.3">
      <c r="A421" s="13">
        <v>45351</v>
      </c>
      <c r="B421" s="7" t="s">
        <v>115</v>
      </c>
      <c r="C421" s="7" t="s">
        <v>29</v>
      </c>
      <c r="D421" s="7" t="s">
        <v>103</v>
      </c>
      <c r="E421" s="7" t="s">
        <v>30</v>
      </c>
      <c r="F421" s="14">
        <v>538</v>
      </c>
      <c r="G421" s="15">
        <v>177.91</v>
      </c>
      <c r="H421" s="16">
        <v>4.2402888319037969E-2</v>
      </c>
      <c r="I421" s="16">
        <v>2.065532593107924E-2</v>
      </c>
      <c r="J421" s="15">
        <v>119.93</v>
      </c>
      <c r="K421" s="14">
        <v>48</v>
      </c>
      <c r="L421" s="14">
        <v>3</v>
      </c>
      <c r="M421" s="15">
        <v>3.92</v>
      </c>
      <c r="N421" s="17">
        <v>95715.58</v>
      </c>
      <c r="O421" s="17">
        <v>4058.617049131944</v>
      </c>
      <c r="P421" s="17">
        <v>1893.204443603034</v>
      </c>
      <c r="Q421" s="17">
        <v>89763.758507265011</v>
      </c>
      <c r="R421" s="17">
        <v>64522.34</v>
      </c>
      <c r="S421" s="17">
        <v>25241.418507265011</v>
      </c>
      <c r="T421" s="17">
        <v>11.76</v>
      </c>
    </row>
    <row r="422" spans="1:20" x14ac:dyDescent="0.3">
      <c r="A422" s="13">
        <v>45351</v>
      </c>
      <c r="B422" s="7" t="s">
        <v>115</v>
      </c>
      <c r="C422" s="7" t="s">
        <v>29</v>
      </c>
      <c r="D422" s="7" t="s">
        <v>104</v>
      </c>
      <c r="E422" s="7" t="s">
        <v>25</v>
      </c>
      <c r="F422" s="14">
        <v>1745</v>
      </c>
      <c r="G422" s="15">
        <v>43.05</v>
      </c>
      <c r="H422" s="16">
        <v>5.7481706918606941E-2</v>
      </c>
      <c r="I422" s="16">
        <v>3.0354622050898089E-2</v>
      </c>
      <c r="J422" s="15">
        <v>22.37</v>
      </c>
      <c r="K422" s="14">
        <v>1290</v>
      </c>
      <c r="L422" s="14">
        <v>441</v>
      </c>
      <c r="M422" s="15">
        <v>27.81</v>
      </c>
      <c r="N422" s="17">
        <v>75122.25</v>
      </c>
      <c r="O422" s="17">
        <v>4318.1551575663207</v>
      </c>
      <c r="P422" s="17">
        <v>2149.2315385980169</v>
      </c>
      <c r="Q422" s="17">
        <v>68654.863303835664</v>
      </c>
      <c r="R422" s="17">
        <v>39035.65</v>
      </c>
      <c r="S422" s="17">
        <v>29619.213303835659</v>
      </c>
      <c r="T422" s="17">
        <v>12264.21</v>
      </c>
    </row>
    <row r="423" spans="1:20" x14ac:dyDescent="0.3">
      <c r="A423" s="13">
        <v>45351</v>
      </c>
      <c r="B423" s="7" t="s">
        <v>115</v>
      </c>
      <c r="C423" s="7" t="s">
        <v>29</v>
      </c>
      <c r="D423" s="7" t="s">
        <v>104</v>
      </c>
      <c r="E423" s="7" t="s">
        <v>28</v>
      </c>
      <c r="F423" s="14">
        <v>902</v>
      </c>
      <c r="G423" s="15">
        <v>42.6</v>
      </c>
      <c r="H423" s="16">
        <v>0.10492965572882371</v>
      </c>
      <c r="I423" s="16">
        <v>5.154078767912635E-2</v>
      </c>
      <c r="J423" s="15">
        <v>21.5</v>
      </c>
      <c r="K423" s="14">
        <v>787</v>
      </c>
      <c r="L423" s="14">
        <v>239</v>
      </c>
      <c r="M423" s="15">
        <v>18.25</v>
      </c>
      <c r="N423" s="17">
        <v>38425.199999999997</v>
      </c>
      <c r="O423" s="17">
        <v>4031.9430073111962</v>
      </c>
      <c r="P423" s="17">
        <v>1772.6555562538019</v>
      </c>
      <c r="Q423" s="17">
        <v>32620.601436435009</v>
      </c>
      <c r="R423" s="17">
        <v>19393</v>
      </c>
      <c r="S423" s="17">
        <v>13227.60143643501</v>
      </c>
      <c r="T423" s="17">
        <v>4361.75</v>
      </c>
    </row>
    <row r="424" spans="1:20" x14ac:dyDescent="0.3">
      <c r="A424" s="13">
        <v>45351</v>
      </c>
      <c r="B424" s="7" t="s">
        <v>115</v>
      </c>
      <c r="C424" s="7" t="s">
        <v>29</v>
      </c>
      <c r="D424" s="7" t="s">
        <v>104</v>
      </c>
      <c r="E424" s="7" t="s">
        <v>30</v>
      </c>
      <c r="F424" s="14">
        <v>571</v>
      </c>
      <c r="G424" s="15">
        <v>35.5</v>
      </c>
      <c r="H424" s="16">
        <v>3.9556162818433729E-2</v>
      </c>
      <c r="I424" s="16">
        <v>1.962167197837085E-2</v>
      </c>
      <c r="J424" s="15">
        <v>23.34</v>
      </c>
      <c r="K424" s="14">
        <v>48</v>
      </c>
      <c r="L424" s="14">
        <v>3</v>
      </c>
      <c r="M424" s="15">
        <v>3.75</v>
      </c>
      <c r="N424" s="17">
        <v>20270.5</v>
      </c>
      <c r="O424" s="17">
        <v>801.82319841106096</v>
      </c>
      <c r="P424" s="17">
        <v>382.00799005369629</v>
      </c>
      <c r="Q424" s="17">
        <v>19086.668811535241</v>
      </c>
      <c r="R424" s="17">
        <v>13327.14</v>
      </c>
      <c r="S424" s="17">
        <v>5759.528811535245</v>
      </c>
      <c r="T424" s="17">
        <v>11.25</v>
      </c>
    </row>
    <row r="425" spans="1:20" x14ac:dyDescent="0.3">
      <c r="A425" s="13">
        <v>45351</v>
      </c>
      <c r="B425" s="7" t="s">
        <v>115</v>
      </c>
      <c r="C425" s="7" t="s">
        <v>31</v>
      </c>
      <c r="D425" s="7" t="s">
        <v>102</v>
      </c>
      <c r="E425" s="7" t="s">
        <v>25</v>
      </c>
      <c r="F425" s="14">
        <v>1840</v>
      </c>
      <c r="G425" s="15">
        <v>108.03</v>
      </c>
      <c r="H425" s="16">
        <v>6.4422865074481805E-2</v>
      </c>
      <c r="I425" s="16">
        <v>4.5697603571986482E-2</v>
      </c>
      <c r="J425" s="15">
        <v>68.38</v>
      </c>
      <c r="K425" s="14">
        <v>1345</v>
      </c>
      <c r="L425" s="14">
        <v>581</v>
      </c>
      <c r="M425" s="15">
        <v>31.43</v>
      </c>
      <c r="N425" s="17">
        <v>198775.2</v>
      </c>
      <c r="O425" s="17">
        <v>12805.66788975314</v>
      </c>
      <c r="P425" s="17">
        <v>8498.3619548418719</v>
      </c>
      <c r="Q425" s="17">
        <v>177471.17015540501</v>
      </c>
      <c r="R425" s="17">
        <v>125819.2</v>
      </c>
      <c r="S425" s="17">
        <v>51651.970155405012</v>
      </c>
      <c r="T425" s="17">
        <v>18260.830000000002</v>
      </c>
    </row>
    <row r="426" spans="1:20" x14ac:dyDescent="0.3">
      <c r="A426" s="13">
        <v>45351</v>
      </c>
      <c r="B426" s="7" t="s">
        <v>115</v>
      </c>
      <c r="C426" s="7" t="s">
        <v>31</v>
      </c>
      <c r="D426" s="7" t="s">
        <v>102</v>
      </c>
      <c r="E426" s="7" t="s">
        <v>28</v>
      </c>
      <c r="F426" s="14">
        <v>826</v>
      </c>
      <c r="G426" s="15">
        <v>102.91</v>
      </c>
      <c r="H426" s="16">
        <v>8.6996588893493404E-2</v>
      </c>
      <c r="I426" s="16">
        <v>9.0702932935793359E-2</v>
      </c>
      <c r="J426" s="15">
        <v>66.599999999999994</v>
      </c>
      <c r="K426" s="14">
        <v>619</v>
      </c>
      <c r="L426" s="14">
        <v>193</v>
      </c>
      <c r="M426" s="15">
        <v>16.690000000000001</v>
      </c>
      <c r="N426" s="17">
        <v>85003.66</v>
      </c>
      <c r="O426" s="17">
        <v>7395.0284634622894</v>
      </c>
      <c r="P426" s="17">
        <v>7039.3305014972784</v>
      </c>
      <c r="Q426" s="17">
        <v>70569.301035040437</v>
      </c>
      <c r="R426" s="17">
        <v>55011.6</v>
      </c>
      <c r="S426" s="17">
        <v>15557.70103504044</v>
      </c>
      <c r="T426" s="17">
        <v>3221.17</v>
      </c>
    </row>
    <row r="427" spans="1:20" x14ac:dyDescent="0.3">
      <c r="A427" s="13">
        <v>45351</v>
      </c>
      <c r="B427" s="7" t="s">
        <v>115</v>
      </c>
      <c r="C427" s="7" t="s">
        <v>31</v>
      </c>
      <c r="D427" s="7" t="s">
        <v>102</v>
      </c>
      <c r="E427" s="7" t="s">
        <v>30</v>
      </c>
      <c r="F427" s="14">
        <v>874</v>
      </c>
      <c r="G427" s="15">
        <v>89.16</v>
      </c>
      <c r="H427" s="16">
        <v>4.5044406892777299E-2</v>
      </c>
      <c r="I427" s="16">
        <v>2.1039012536766571E-2</v>
      </c>
      <c r="J427" s="15">
        <v>65.34</v>
      </c>
      <c r="K427" s="14">
        <v>70</v>
      </c>
      <c r="L427" s="14">
        <v>4</v>
      </c>
      <c r="M427" s="15">
        <v>4.5199999999999996</v>
      </c>
      <c r="N427" s="17">
        <v>77925.84</v>
      </c>
      <c r="O427" s="17">
        <v>3510.1232444214611</v>
      </c>
      <c r="P427" s="17">
        <v>1565.633197753087</v>
      </c>
      <c r="Q427" s="17">
        <v>72850.083557825448</v>
      </c>
      <c r="R427" s="17">
        <v>57107.16</v>
      </c>
      <c r="S427" s="17">
        <v>15742.923557825439</v>
      </c>
      <c r="T427" s="17">
        <v>18.079999999999998</v>
      </c>
    </row>
    <row r="428" spans="1:20" x14ac:dyDescent="0.3">
      <c r="A428" s="13">
        <v>45351</v>
      </c>
      <c r="B428" s="7" t="s">
        <v>115</v>
      </c>
      <c r="C428" s="7" t="s">
        <v>31</v>
      </c>
      <c r="D428" s="7" t="s">
        <v>103</v>
      </c>
      <c r="E428" s="7" t="s">
        <v>25</v>
      </c>
      <c r="F428" s="14">
        <v>684</v>
      </c>
      <c r="G428" s="15">
        <v>202.18</v>
      </c>
      <c r="H428" s="16">
        <v>4.4015894213564367E-2</v>
      </c>
      <c r="I428" s="16">
        <v>5.0639409875608561E-2</v>
      </c>
      <c r="J428" s="15">
        <v>117.42</v>
      </c>
      <c r="K428" s="14">
        <v>470</v>
      </c>
      <c r="L428" s="14">
        <v>183</v>
      </c>
      <c r="M428" s="15">
        <v>39.97</v>
      </c>
      <c r="N428" s="17">
        <v>138291.12</v>
      </c>
      <c r="O428" s="17">
        <v>6087.0073085953363</v>
      </c>
      <c r="P428" s="17">
        <v>6694.7382498211837</v>
      </c>
      <c r="Q428" s="17">
        <v>125509.3744415835</v>
      </c>
      <c r="R428" s="17">
        <v>80315.28</v>
      </c>
      <c r="S428" s="17">
        <v>45194.094441583467</v>
      </c>
      <c r="T428" s="17">
        <v>7314.51</v>
      </c>
    </row>
    <row r="429" spans="1:20" x14ac:dyDescent="0.3">
      <c r="A429" s="13">
        <v>45351</v>
      </c>
      <c r="B429" s="7" t="s">
        <v>115</v>
      </c>
      <c r="C429" s="7" t="s">
        <v>31</v>
      </c>
      <c r="D429" s="7" t="s">
        <v>103</v>
      </c>
      <c r="E429" s="7" t="s">
        <v>28</v>
      </c>
      <c r="F429" s="14">
        <v>376</v>
      </c>
      <c r="G429" s="15">
        <v>194.41</v>
      </c>
      <c r="H429" s="16">
        <v>9.7050383586240005E-2</v>
      </c>
      <c r="I429" s="16">
        <v>5.853127130335644E-2</v>
      </c>
      <c r="J429" s="15">
        <v>124.48</v>
      </c>
      <c r="K429" s="14">
        <v>327</v>
      </c>
      <c r="L429" s="14">
        <v>101</v>
      </c>
      <c r="M429" s="15">
        <v>20.88</v>
      </c>
      <c r="N429" s="17">
        <v>73098.16</v>
      </c>
      <c r="O429" s="17">
        <v>7094.2044674483459</v>
      </c>
      <c r="P429" s="17">
        <v>3863.2954283704548</v>
      </c>
      <c r="Q429" s="17">
        <v>62140.660104181203</v>
      </c>
      <c r="R429" s="17">
        <v>46804.480000000003</v>
      </c>
      <c r="S429" s="17">
        <v>15336.1801041812</v>
      </c>
      <c r="T429" s="17">
        <v>2108.88</v>
      </c>
    </row>
    <row r="430" spans="1:20" x14ac:dyDescent="0.3">
      <c r="A430" s="13">
        <v>45351</v>
      </c>
      <c r="B430" s="7" t="s">
        <v>115</v>
      </c>
      <c r="C430" s="7" t="s">
        <v>31</v>
      </c>
      <c r="D430" s="7" t="s">
        <v>103</v>
      </c>
      <c r="E430" s="7" t="s">
        <v>30</v>
      </c>
      <c r="F430" s="14">
        <v>308</v>
      </c>
      <c r="G430" s="15">
        <v>165.27</v>
      </c>
      <c r="H430" s="16">
        <v>4.0873127186609452E-2</v>
      </c>
      <c r="I430" s="16">
        <v>1.692938717495842E-2</v>
      </c>
      <c r="J430" s="15">
        <v>117.03</v>
      </c>
      <c r="K430" s="14">
        <v>24</v>
      </c>
      <c r="L430" s="14">
        <v>1</v>
      </c>
      <c r="M430" s="15">
        <v>6.43</v>
      </c>
      <c r="N430" s="17">
        <v>50903.16</v>
      </c>
      <c r="O430" s="17">
        <v>2080.5713328803308</v>
      </c>
      <c r="P430" s="17">
        <v>826.53650642940602</v>
      </c>
      <c r="Q430" s="17">
        <v>47996.052160690262</v>
      </c>
      <c r="R430" s="17">
        <v>36045.24</v>
      </c>
      <c r="S430" s="17">
        <v>11950.81216069026</v>
      </c>
      <c r="T430" s="17">
        <v>6.43</v>
      </c>
    </row>
    <row r="431" spans="1:20" x14ac:dyDescent="0.3">
      <c r="A431" s="13">
        <v>45351</v>
      </c>
      <c r="B431" s="7" t="s">
        <v>115</v>
      </c>
      <c r="C431" s="7" t="s">
        <v>31</v>
      </c>
      <c r="D431" s="7" t="s">
        <v>104</v>
      </c>
      <c r="E431" s="7" t="s">
        <v>25</v>
      </c>
      <c r="F431" s="14">
        <v>692</v>
      </c>
      <c r="G431" s="15">
        <v>40.1</v>
      </c>
      <c r="H431" s="16">
        <v>5.6510700752322951E-2</v>
      </c>
      <c r="I431" s="16">
        <v>3.5863843343703572E-2</v>
      </c>
      <c r="J431" s="15">
        <v>21.06</v>
      </c>
      <c r="K431" s="14">
        <v>455</v>
      </c>
      <c r="L431" s="14">
        <v>172</v>
      </c>
      <c r="M431" s="15">
        <v>24.77</v>
      </c>
      <c r="N431" s="17">
        <v>27749.200000000001</v>
      </c>
      <c r="O431" s="17">
        <v>1568.12673731636</v>
      </c>
      <c r="P431" s="17">
        <v>938.9539100629122</v>
      </c>
      <c r="Q431" s="17">
        <v>25242.119352620732</v>
      </c>
      <c r="R431" s="17">
        <v>14573.52</v>
      </c>
      <c r="S431" s="17">
        <v>10668.599352620729</v>
      </c>
      <c r="T431" s="17">
        <v>4260.4399999999996</v>
      </c>
    </row>
    <row r="432" spans="1:20" x14ac:dyDescent="0.3">
      <c r="A432" s="13">
        <v>45351</v>
      </c>
      <c r="B432" s="7" t="s">
        <v>115</v>
      </c>
      <c r="C432" s="7" t="s">
        <v>31</v>
      </c>
      <c r="D432" s="7" t="s">
        <v>104</v>
      </c>
      <c r="E432" s="7" t="s">
        <v>28</v>
      </c>
      <c r="F432" s="14">
        <v>271</v>
      </c>
      <c r="G432" s="15">
        <v>40.450000000000003</v>
      </c>
      <c r="H432" s="16">
        <v>0.1046983903319251</v>
      </c>
      <c r="I432" s="16">
        <v>5.4355489126125048E-2</v>
      </c>
      <c r="J432" s="15">
        <v>21.38</v>
      </c>
      <c r="K432" s="14">
        <v>221</v>
      </c>
      <c r="L432" s="14">
        <v>55</v>
      </c>
      <c r="M432" s="15">
        <v>14.2</v>
      </c>
      <c r="N432" s="17">
        <v>10961.95</v>
      </c>
      <c r="O432" s="17">
        <v>1147.698519899046</v>
      </c>
      <c r="P432" s="17">
        <v>533.45843960768411</v>
      </c>
      <c r="Q432" s="17">
        <v>9280.7930404932704</v>
      </c>
      <c r="R432" s="17">
        <v>5793.98</v>
      </c>
      <c r="S432" s="17">
        <v>3486.8130404932708</v>
      </c>
      <c r="T432" s="17">
        <v>781</v>
      </c>
    </row>
    <row r="433" spans="1:20" x14ac:dyDescent="0.3">
      <c r="A433" s="13">
        <v>45351</v>
      </c>
      <c r="B433" s="7" t="s">
        <v>115</v>
      </c>
      <c r="C433" s="7" t="s">
        <v>31</v>
      </c>
      <c r="D433" s="7" t="s">
        <v>104</v>
      </c>
      <c r="E433" s="7" t="s">
        <v>30</v>
      </c>
      <c r="F433" s="14">
        <v>301</v>
      </c>
      <c r="G433" s="15">
        <v>34.42</v>
      </c>
      <c r="H433" s="16">
        <v>4.1051720673603541E-2</v>
      </c>
      <c r="I433" s="16">
        <v>1.331637280562035E-2</v>
      </c>
      <c r="J433" s="15">
        <v>21.1</v>
      </c>
      <c r="K433" s="14">
        <v>27</v>
      </c>
      <c r="L433" s="14">
        <v>2</v>
      </c>
      <c r="M433" s="15">
        <v>5.12</v>
      </c>
      <c r="N433" s="17">
        <v>10360.42</v>
      </c>
      <c r="O433" s="17">
        <v>425.31306790121562</v>
      </c>
      <c r="P433" s="17">
        <v>132.29958777153041</v>
      </c>
      <c r="Q433" s="17">
        <v>9802.8073443272533</v>
      </c>
      <c r="R433" s="17">
        <v>6351.1</v>
      </c>
      <c r="S433" s="17">
        <v>3451.7073443272529</v>
      </c>
      <c r="T433" s="17">
        <v>10.24</v>
      </c>
    </row>
    <row r="434" spans="1:20" x14ac:dyDescent="0.3">
      <c r="A434" s="13">
        <v>45382</v>
      </c>
      <c r="B434" s="7" t="s">
        <v>116</v>
      </c>
      <c r="C434" s="7" t="s">
        <v>24</v>
      </c>
      <c r="D434" s="7" t="s">
        <v>102</v>
      </c>
      <c r="E434" s="7" t="s">
        <v>25</v>
      </c>
      <c r="F434" s="14">
        <v>6760</v>
      </c>
      <c r="G434" s="15">
        <v>124.55</v>
      </c>
      <c r="H434" s="16">
        <v>5.0454554402430588E-2</v>
      </c>
      <c r="I434" s="16">
        <v>3.2829838508720642E-2</v>
      </c>
      <c r="J434" s="15">
        <v>68.94</v>
      </c>
      <c r="K434" s="14">
        <v>4645</v>
      </c>
      <c r="L434" s="14">
        <v>1757</v>
      </c>
      <c r="M434" s="15">
        <v>37.630000000000003</v>
      </c>
      <c r="N434" s="17">
        <v>841958</v>
      </c>
      <c r="O434" s="17">
        <v>42480.615715561653</v>
      </c>
      <c r="P434" s="17">
        <v>26246.7134174325</v>
      </c>
      <c r="Q434" s="17">
        <v>773230.67086700583</v>
      </c>
      <c r="R434" s="17">
        <v>466034.4</v>
      </c>
      <c r="S434" s="17">
        <v>307196.27086700592</v>
      </c>
      <c r="T434" s="17">
        <v>66115.91</v>
      </c>
    </row>
    <row r="435" spans="1:20" x14ac:dyDescent="0.3">
      <c r="A435" s="13">
        <v>45382</v>
      </c>
      <c r="B435" s="7" t="s">
        <v>116</v>
      </c>
      <c r="C435" s="7" t="s">
        <v>24</v>
      </c>
      <c r="D435" s="7" t="s">
        <v>102</v>
      </c>
      <c r="E435" s="7" t="s">
        <v>28</v>
      </c>
      <c r="F435" s="14">
        <v>2188</v>
      </c>
      <c r="G435" s="15">
        <v>116.05</v>
      </c>
      <c r="H435" s="16">
        <v>5.4857649314331472E-2</v>
      </c>
      <c r="I435" s="16">
        <v>5.4580341570490638E-2</v>
      </c>
      <c r="J435" s="15">
        <v>71.56</v>
      </c>
      <c r="K435" s="14">
        <v>1907</v>
      </c>
      <c r="L435" s="14">
        <v>620</v>
      </c>
      <c r="M435" s="15">
        <v>14.73</v>
      </c>
      <c r="N435" s="17">
        <v>253917.4</v>
      </c>
      <c r="O435" s="17">
        <v>13929.311684006831</v>
      </c>
      <c r="P435" s="17">
        <v>13098.63183313598</v>
      </c>
      <c r="Q435" s="17">
        <v>226889.4564828572</v>
      </c>
      <c r="R435" s="17">
        <v>156573.28</v>
      </c>
      <c r="S435" s="17">
        <v>70316.176482857176</v>
      </c>
      <c r="T435" s="17">
        <v>9132.6</v>
      </c>
    </row>
    <row r="436" spans="1:20" x14ac:dyDescent="0.3">
      <c r="A436" s="13">
        <v>45382</v>
      </c>
      <c r="B436" s="7" t="s">
        <v>116</v>
      </c>
      <c r="C436" s="7" t="s">
        <v>24</v>
      </c>
      <c r="D436" s="7" t="s">
        <v>102</v>
      </c>
      <c r="E436" s="7" t="s">
        <v>30</v>
      </c>
      <c r="F436" s="14">
        <v>2330</v>
      </c>
      <c r="G436" s="15">
        <v>99.64</v>
      </c>
      <c r="H436" s="16">
        <v>3.0414404982427409E-2</v>
      </c>
      <c r="I436" s="16">
        <v>1.836491341195115E-2</v>
      </c>
      <c r="J436" s="15">
        <v>71.239999999999995</v>
      </c>
      <c r="K436" s="14">
        <v>206</v>
      </c>
      <c r="L436" s="14">
        <v>13</v>
      </c>
      <c r="M436" s="15">
        <v>5.45</v>
      </c>
      <c r="N436" s="17">
        <v>232161.2</v>
      </c>
      <c r="O436" s="17">
        <v>7061.0447580063264</v>
      </c>
      <c r="P436" s="17">
        <v>4133.9448600359756</v>
      </c>
      <c r="Q436" s="17">
        <v>220966.2103819577</v>
      </c>
      <c r="R436" s="17">
        <v>165989.20000000001</v>
      </c>
      <c r="S436" s="17">
        <v>54977.01038195772</v>
      </c>
      <c r="T436" s="17">
        <v>70.850000000000009</v>
      </c>
    </row>
    <row r="437" spans="1:20" x14ac:dyDescent="0.3">
      <c r="A437" s="13">
        <v>45382</v>
      </c>
      <c r="B437" s="7" t="s">
        <v>116</v>
      </c>
      <c r="C437" s="7" t="s">
        <v>24</v>
      </c>
      <c r="D437" s="7" t="s">
        <v>103</v>
      </c>
      <c r="E437" s="7" t="s">
        <v>25</v>
      </c>
      <c r="F437" s="14">
        <v>2902</v>
      </c>
      <c r="G437" s="15">
        <v>232.7</v>
      </c>
      <c r="H437" s="16">
        <v>5.9567203434023053E-2</v>
      </c>
      <c r="I437" s="16">
        <v>3.8168495289467058E-2</v>
      </c>
      <c r="J437" s="15">
        <v>121.6</v>
      </c>
      <c r="K437" s="14">
        <v>2042</v>
      </c>
      <c r="L437" s="14">
        <v>866</v>
      </c>
      <c r="M437" s="15">
        <v>38.799999999999997</v>
      </c>
      <c r="N437" s="17">
        <v>675295.4</v>
      </c>
      <c r="O437" s="17">
        <v>40225.458469859957</v>
      </c>
      <c r="P437" s="17">
        <v>24239.664071775271</v>
      </c>
      <c r="Q437" s="17">
        <v>610830.27745836484</v>
      </c>
      <c r="R437" s="17">
        <v>352883.20000000001</v>
      </c>
      <c r="S437" s="17">
        <v>257947.0774583648</v>
      </c>
      <c r="T437" s="17">
        <v>33600.800000000003</v>
      </c>
    </row>
    <row r="438" spans="1:20" x14ac:dyDescent="0.3">
      <c r="A438" s="13">
        <v>45382</v>
      </c>
      <c r="B438" s="7" t="s">
        <v>116</v>
      </c>
      <c r="C438" s="7" t="s">
        <v>24</v>
      </c>
      <c r="D438" s="7" t="s">
        <v>103</v>
      </c>
      <c r="E438" s="7" t="s">
        <v>28</v>
      </c>
      <c r="F438" s="14">
        <v>1298</v>
      </c>
      <c r="G438" s="15">
        <v>211.68</v>
      </c>
      <c r="H438" s="16">
        <v>7.1471715103564634E-2</v>
      </c>
      <c r="I438" s="16">
        <v>6.4844617554265016E-2</v>
      </c>
      <c r="J438" s="15">
        <v>122.69</v>
      </c>
      <c r="K438" s="14">
        <v>1084</v>
      </c>
      <c r="L438" s="14">
        <v>326</v>
      </c>
      <c r="M438" s="15">
        <v>19.62</v>
      </c>
      <c r="N438" s="17">
        <v>274760.64</v>
      </c>
      <c r="O438" s="17">
        <v>19637.614183753081</v>
      </c>
      <c r="P438" s="17">
        <v>16543.355038341411</v>
      </c>
      <c r="Q438" s="17">
        <v>238579.6707779055</v>
      </c>
      <c r="R438" s="17">
        <v>159251.62</v>
      </c>
      <c r="S438" s="17">
        <v>79328.050777905504</v>
      </c>
      <c r="T438" s="17">
        <v>6396.12</v>
      </c>
    </row>
    <row r="439" spans="1:20" x14ac:dyDescent="0.3">
      <c r="A439" s="13">
        <v>45382</v>
      </c>
      <c r="B439" s="7" t="s">
        <v>116</v>
      </c>
      <c r="C439" s="7" t="s">
        <v>24</v>
      </c>
      <c r="D439" s="7" t="s">
        <v>103</v>
      </c>
      <c r="E439" s="7" t="s">
        <v>30</v>
      </c>
      <c r="F439" s="14">
        <v>1056</v>
      </c>
      <c r="G439" s="15">
        <v>195.01</v>
      </c>
      <c r="H439" s="16">
        <v>2.9514180941030432E-2</v>
      </c>
      <c r="I439" s="16">
        <v>2.217385032278445E-2</v>
      </c>
      <c r="J439" s="15">
        <v>124.66</v>
      </c>
      <c r="K439" s="14">
        <v>92</v>
      </c>
      <c r="L439" s="14">
        <v>5</v>
      </c>
      <c r="M439" s="15">
        <v>4.28</v>
      </c>
      <c r="N439" s="17">
        <v>205930.56</v>
      </c>
      <c r="O439" s="17">
        <v>6077.8718091277233</v>
      </c>
      <c r="P439" s="17">
        <v>4431.5035945505142</v>
      </c>
      <c r="Q439" s="17">
        <v>195421.18459632181</v>
      </c>
      <c r="R439" s="17">
        <v>131640.95999999999</v>
      </c>
      <c r="S439" s="17">
        <v>63780.224596321787</v>
      </c>
      <c r="T439" s="17">
        <v>21.4</v>
      </c>
    </row>
    <row r="440" spans="1:20" x14ac:dyDescent="0.3">
      <c r="A440" s="13">
        <v>45382</v>
      </c>
      <c r="B440" s="7" t="s">
        <v>116</v>
      </c>
      <c r="C440" s="7" t="s">
        <v>24</v>
      </c>
      <c r="D440" s="7" t="s">
        <v>104</v>
      </c>
      <c r="E440" s="7" t="s">
        <v>25</v>
      </c>
      <c r="F440" s="14">
        <v>2760</v>
      </c>
      <c r="G440" s="15">
        <v>47.23</v>
      </c>
      <c r="H440" s="16">
        <v>3.7560562617029301E-2</v>
      </c>
      <c r="I440" s="16">
        <v>3.0343351964767919E-2</v>
      </c>
      <c r="J440" s="15">
        <v>23.64</v>
      </c>
      <c r="K440" s="14">
        <v>2001</v>
      </c>
      <c r="L440" s="14">
        <v>659</v>
      </c>
      <c r="M440" s="15">
        <v>28.65</v>
      </c>
      <c r="N440" s="17">
        <v>130354.8</v>
      </c>
      <c r="O440" s="17">
        <v>4896.1996278303304</v>
      </c>
      <c r="P440" s="17">
        <v>3806.834468099908</v>
      </c>
      <c r="Q440" s="17">
        <v>121651.7659040697</v>
      </c>
      <c r="R440" s="17">
        <v>65246.400000000001</v>
      </c>
      <c r="S440" s="17">
        <v>56405.365904069753</v>
      </c>
      <c r="T440" s="17">
        <v>18880.349999999999</v>
      </c>
    </row>
    <row r="441" spans="1:20" x14ac:dyDescent="0.3">
      <c r="A441" s="13">
        <v>45382</v>
      </c>
      <c r="B441" s="7" t="s">
        <v>116</v>
      </c>
      <c r="C441" s="7" t="s">
        <v>24</v>
      </c>
      <c r="D441" s="7" t="s">
        <v>104</v>
      </c>
      <c r="E441" s="7" t="s">
        <v>28</v>
      </c>
      <c r="F441" s="14">
        <v>941</v>
      </c>
      <c r="G441" s="15">
        <v>41.84</v>
      </c>
      <c r="H441" s="16">
        <v>7.5807316192868845E-2</v>
      </c>
      <c r="I441" s="16">
        <v>8.2461475247694399E-2</v>
      </c>
      <c r="J441" s="15">
        <v>23.79</v>
      </c>
      <c r="K441" s="14">
        <v>778</v>
      </c>
      <c r="L441" s="14">
        <v>262</v>
      </c>
      <c r="M441" s="15">
        <v>17.66</v>
      </c>
      <c r="N441" s="17">
        <v>39371.440000000002</v>
      </c>
      <c r="O441" s="17">
        <v>2984.6432010485642</v>
      </c>
      <c r="P441" s="17">
        <v>3000.5089435796199</v>
      </c>
      <c r="Q441" s="17">
        <v>33386.287855371818</v>
      </c>
      <c r="R441" s="17">
        <v>22386.39</v>
      </c>
      <c r="S441" s="17">
        <v>10999.897855371821</v>
      </c>
      <c r="T441" s="17">
        <v>4626.92</v>
      </c>
    </row>
    <row r="442" spans="1:20" x14ac:dyDescent="0.3">
      <c r="A442" s="13">
        <v>45382</v>
      </c>
      <c r="B442" s="7" t="s">
        <v>116</v>
      </c>
      <c r="C442" s="7" t="s">
        <v>24</v>
      </c>
      <c r="D442" s="7" t="s">
        <v>104</v>
      </c>
      <c r="E442" s="7" t="s">
        <v>30</v>
      </c>
      <c r="F442" s="14">
        <v>744</v>
      </c>
      <c r="G442" s="15">
        <v>38.9</v>
      </c>
      <c r="H442" s="16">
        <v>3.5125585906375482E-2</v>
      </c>
      <c r="I442" s="16">
        <v>1.975485329580982E-2</v>
      </c>
      <c r="J442" s="15">
        <v>22.43</v>
      </c>
      <c r="K442" s="14">
        <v>67</v>
      </c>
      <c r="L442" s="14">
        <v>4</v>
      </c>
      <c r="M442" s="15">
        <v>5.3</v>
      </c>
      <c r="N442" s="17">
        <v>28941.599999999999</v>
      </c>
      <c r="O442" s="17">
        <v>1016.590657067957</v>
      </c>
      <c r="P442" s="17">
        <v>551.65446285374094</v>
      </c>
      <c r="Q442" s="17">
        <v>27373.354880078299</v>
      </c>
      <c r="R442" s="17">
        <v>16687.919999999998</v>
      </c>
      <c r="S442" s="17">
        <v>10685.434880078299</v>
      </c>
      <c r="T442" s="17">
        <v>21.2</v>
      </c>
    </row>
    <row r="443" spans="1:20" x14ac:dyDescent="0.3">
      <c r="A443" s="13">
        <v>45382</v>
      </c>
      <c r="B443" s="7" t="s">
        <v>116</v>
      </c>
      <c r="C443" s="7" t="s">
        <v>27</v>
      </c>
      <c r="D443" s="7" t="s">
        <v>102</v>
      </c>
      <c r="E443" s="7" t="s">
        <v>25</v>
      </c>
      <c r="F443" s="14">
        <v>6391</v>
      </c>
      <c r="G443" s="15">
        <v>138.97</v>
      </c>
      <c r="H443" s="16">
        <v>6.2818189260118396E-2</v>
      </c>
      <c r="I443" s="16">
        <v>4.6870657958589163E-2</v>
      </c>
      <c r="J443" s="15">
        <v>77.849999999999994</v>
      </c>
      <c r="K443" s="14">
        <v>4563</v>
      </c>
      <c r="L443" s="14">
        <v>1622</v>
      </c>
      <c r="M443" s="15">
        <v>25.6</v>
      </c>
      <c r="N443" s="17">
        <v>888157.27</v>
      </c>
      <c r="O443" s="17">
        <v>55792.431479610073</v>
      </c>
      <c r="P443" s="17">
        <v>39013.487643045497</v>
      </c>
      <c r="Q443" s="17">
        <v>793351.35087734449</v>
      </c>
      <c r="R443" s="17">
        <v>497539.35</v>
      </c>
      <c r="S443" s="17">
        <v>295812.00087734452</v>
      </c>
      <c r="T443" s="17">
        <v>41523.199999999997</v>
      </c>
    </row>
    <row r="444" spans="1:20" x14ac:dyDescent="0.3">
      <c r="A444" s="13">
        <v>45382</v>
      </c>
      <c r="B444" s="7" t="s">
        <v>116</v>
      </c>
      <c r="C444" s="7" t="s">
        <v>27</v>
      </c>
      <c r="D444" s="7" t="s">
        <v>102</v>
      </c>
      <c r="E444" s="7" t="s">
        <v>28</v>
      </c>
      <c r="F444" s="14">
        <v>2223</v>
      </c>
      <c r="G444" s="15">
        <v>127.38</v>
      </c>
      <c r="H444" s="16">
        <v>0.1239060134463897</v>
      </c>
      <c r="I444" s="16">
        <v>3.2398833832413702E-2</v>
      </c>
      <c r="J444" s="15">
        <v>74.489999999999995</v>
      </c>
      <c r="K444" s="14">
        <v>1813</v>
      </c>
      <c r="L444" s="14">
        <v>493</v>
      </c>
      <c r="M444" s="15">
        <v>20.079999999999998</v>
      </c>
      <c r="N444" s="17">
        <v>283165.74</v>
      </c>
      <c r="O444" s="17">
        <v>35085.937987996898</v>
      </c>
      <c r="P444" s="17">
        <v>8037.4962825649782</v>
      </c>
      <c r="Q444" s="17">
        <v>240042.30572943811</v>
      </c>
      <c r="R444" s="17">
        <v>165591.26999999999</v>
      </c>
      <c r="S444" s="17">
        <v>74451.035729438125</v>
      </c>
      <c r="T444" s="17">
        <v>9899.4399999999987</v>
      </c>
    </row>
    <row r="445" spans="1:20" x14ac:dyDescent="0.3">
      <c r="A445" s="13">
        <v>45382</v>
      </c>
      <c r="B445" s="7" t="s">
        <v>116</v>
      </c>
      <c r="C445" s="7" t="s">
        <v>27</v>
      </c>
      <c r="D445" s="7" t="s">
        <v>102</v>
      </c>
      <c r="E445" s="7" t="s">
        <v>30</v>
      </c>
      <c r="F445" s="14">
        <v>1830</v>
      </c>
      <c r="G445" s="15">
        <v>110.8</v>
      </c>
      <c r="H445" s="16">
        <v>3.5459416137904452E-2</v>
      </c>
      <c r="I445" s="16">
        <v>9.0503914751072344E-3</v>
      </c>
      <c r="J445" s="15">
        <v>77.239999999999995</v>
      </c>
      <c r="K445" s="14">
        <v>152</v>
      </c>
      <c r="L445" s="14">
        <v>8</v>
      </c>
      <c r="M445" s="15">
        <v>5.86</v>
      </c>
      <c r="N445" s="17">
        <v>202764</v>
      </c>
      <c r="O445" s="17">
        <v>7189.893053786057</v>
      </c>
      <c r="P445" s="17">
        <v>1770.0222302577249</v>
      </c>
      <c r="Q445" s="17">
        <v>193804.08471595621</v>
      </c>
      <c r="R445" s="17">
        <v>141349.20000000001</v>
      </c>
      <c r="S445" s="17">
        <v>52454.884715956257</v>
      </c>
      <c r="T445" s="17">
        <v>46.88</v>
      </c>
    </row>
    <row r="446" spans="1:20" x14ac:dyDescent="0.3">
      <c r="A446" s="13">
        <v>45382</v>
      </c>
      <c r="B446" s="7" t="s">
        <v>116</v>
      </c>
      <c r="C446" s="7" t="s">
        <v>27</v>
      </c>
      <c r="D446" s="7" t="s">
        <v>103</v>
      </c>
      <c r="E446" s="7" t="s">
        <v>25</v>
      </c>
      <c r="F446" s="14">
        <v>2258</v>
      </c>
      <c r="G446" s="15">
        <v>247.68</v>
      </c>
      <c r="H446" s="16">
        <v>6.8136157992851817E-2</v>
      </c>
      <c r="I446" s="16">
        <v>3.7025177991261503E-2</v>
      </c>
      <c r="J446" s="15">
        <v>132.86000000000001</v>
      </c>
      <c r="K446" s="14">
        <v>1572</v>
      </c>
      <c r="L446" s="14">
        <v>636</v>
      </c>
      <c r="M446" s="15">
        <v>33.85</v>
      </c>
      <c r="N446" s="17">
        <v>559261.44000000006</v>
      </c>
      <c r="O446" s="17">
        <v>38105.925835149821</v>
      </c>
      <c r="P446" s="17">
        <v>19295.87567308098</v>
      </c>
      <c r="Q446" s="17">
        <v>501859.63849176932</v>
      </c>
      <c r="R446" s="17">
        <v>299997.88</v>
      </c>
      <c r="S446" s="17">
        <v>201861.75849176929</v>
      </c>
      <c r="T446" s="17">
        <v>21528.6</v>
      </c>
    </row>
    <row r="447" spans="1:20" x14ac:dyDescent="0.3">
      <c r="A447" s="13">
        <v>45382</v>
      </c>
      <c r="B447" s="7" t="s">
        <v>116</v>
      </c>
      <c r="C447" s="7" t="s">
        <v>27</v>
      </c>
      <c r="D447" s="7" t="s">
        <v>103</v>
      </c>
      <c r="E447" s="7" t="s">
        <v>28</v>
      </c>
      <c r="F447" s="14">
        <v>1053</v>
      </c>
      <c r="G447" s="15">
        <v>226.7</v>
      </c>
      <c r="H447" s="16">
        <v>8.1383183191865327E-2</v>
      </c>
      <c r="I447" s="16">
        <v>4.7769365575258182E-2</v>
      </c>
      <c r="J447" s="15">
        <v>123.74</v>
      </c>
      <c r="K447" s="14">
        <v>833</v>
      </c>
      <c r="L447" s="14">
        <v>254</v>
      </c>
      <c r="M447" s="15">
        <v>24.88</v>
      </c>
      <c r="N447" s="17">
        <v>238715.1</v>
      </c>
      <c r="O447" s="17">
        <v>19427.394713964452</v>
      </c>
      <c r="P447" s="17">
        <v>10475.234559968099</v>
      </c>
      <c r="Q447" s="17">
        <v>208812.4707260674</v>
      </c>
      <c r="R447" s="17">
        <v>130298.22</v>
      </c>
      <c r="S447" s="17">
        <v>78514.250726067403</v>
      </c>
      <c r="T447" s="17">
        <v>6319.52</v>
      </c>
    </row>
    <row r="448" spans="1:20" x14ac:dyDescent="0.3">
      <c r="A448" s="13">
        <v>45382</v>
      </c>
      <c r="B448" s="7" t="s">
        <v>116</v>
      </c>
      <c r="C448" s="7" t="s">
        <v>27</v>
      </c>
      <c r="D448" s="7" t="s">
        <v>103</v>
      </c>
      <c r="E448" s="7" t="s">
        <v>30</v>
      </c>
      <c r="F448" s="14">
        <v>1034</v>
      </c>
      <c r="G448" s="15">
        <v>202.32</v>
      </c>
      <c r="H448" s="16">
        <v>3.2238954248775417E-2</v>
      </c>
      <c r="I448" s="16">
        <v>1.6521525614014682E-2</v>
      </c>
      <c r="J448" s="15">
        <v>124.31</v>
      </c>
      <c r="K448" s="14">
        <v>93</v>
      </c>
      <c r="L448" s="14">
        <v>5</v>
      </c>
      <c r="M448" s="15">
        <v>6.12</v>
      </c>
      <c r="N448" s="17">
        <v>209198.88</v>
      </c>
      <c r="O448" s="17">
        <v>6744.3531212150601</v>
      </c>
      <c r="P448" s="17">
        <v>3344.8576515010691</v>
      </c>
      <c r="Q448" s="17">
        <v>199109.66922728391</v>
      </c>
      <c r="R448" s="17">
        <v>128536.54</v>
      </c>
      <c r="S448" s="17">
        <v>70573.129227283847</v>
      </c>
      <c r="T448" s="17">
        <v>30.6</v>
      </c>
    </row>
    <row r="449" spans="1:20" x14ac:dyDescent="0.3">
      <c r="A449" s="13">
        <v>45382</v>
      </c>
      <c r="B449" s="7" t="s">
        <v>116</v>
      </c>
      <c r="C449" s="7" t="s">
        <v>27</v>
      </c>
      <c r="D449" s="7" t="s">
        <v>104</v>
      </c>
      <c r="E449" s="7" t="s">
        <v>25</v>
      </c>
      <c r="F449" s="14">
        <v>1666</v>
      </c>
      <c r="G449" s="15">
        <v>53.28</v>
      </c>
      <c r="H449" s="16">
        <v>4.6685001991742477E-2</v>
      </c>
      <c r="I449" s="16">
        <v>5.2592332397867987E-2</v>
      </c>
      <c r="J449" s="15">
        <v>24.24</v>
      </c>
      <c r="K449" s="14">
        <v>1198</v>
      </c>
      <c r="L449" s="14">
        <v>472</v>
      </c>
      <c r="M449" s="15">
        <v>26.39</v>
      </c>
      <c r="N449" s="17">
        <v>88764.479999999996</v>
      </c>
      <c r="O449" s="17">
        <v>4143.9699255959858</v>
      </c>
      <c r="P449" s="17">
        <v>4450.3899935101927</v>
      </c>
      <c r="Q449" s="17">
        <v>80170.120080893816</v>
      </c>
      <c r="R449" s="17">
        <v>40383.839999999997</v>
      </c>
      <c r="S449" s="17">
        <v>39786.280080893819</v>
      </c>
      <c r="T449" s="17">
        <v>12456.08</v>
      </c>
    </row>
    <row r="450" spans="1:20" x14ac:dyDescent="0.3">
      <c r="A450" s="13">
        <v>45382</v>
      </c>
      <c r="B450" s="7" t="s">
        <v>116</v>
      </c>
      <c r="C450" s="7" t="s">
        <v>27</v>
      </c>
      <c r="D450" s="7" t="s">
        <v>104</v>
      </c>
      <c r="E450" s="7" t="s">
        <v>28</v>
      </c>
      <c r="F450" s="14">
        <v>975</v>
      </c>
      <c r="G450" s="15">
        <v>46.38</v>
      </c>
      <c r="H450" s="16">
        <v>8.0292022405435981E-2</v>
      </c>
      <c r="I450" s="16">
        <v>9.0747181436788893E-2</v>
      </c>
      <c r="J450" s="15">
        <v>23.44</v>
      </c>
      <c r="K450" s="14">
        <v>823</v>
      </c>
      <c r="L450" s="14">
        <v>244</v>
      </c>
      <c r="M450" s="15">
        <v>20.53</v>
      </c>
      <c r="N450" s="17">
        <v>45220.5</v>
      </c>
      <c r="O450" s="17">
        <v>3630.8453991850179</v>
      </c>
      <c r="P450" s="17">
        <v>3774.1439319535389</v>
      </c>
      <c r="Q450" s="17">
        <v>37815.51066886144</v>
      </c>
      <c r="R450" s="17">
        <v>22854</v>
      </c>
      <c r="S450" s="17">
        <v>14961.51066886144</v>
      </c>
      <c r="T450" s="17">
        <v>5009.3200000000006</v>
      </c>
    </row>
    <row r="451" spans="1:20" x14ac:dyDescent="0.3">
      <c r="A451" s="13">
        <v>45382</v>
      </c>
      <c r="B451" s="7" t="s">
        <v>116</v>
      </c>
      <c r="C451" s="7" t="s">
        <v>27</v>
      </c>
      <c r="D451" s="7" t="s">
        <v>104</v>
      </c>
      <c r="E451" s="7" t="s">
        <v>30</v>
      </c>
      <c r="F451" s="14">
        <v>564</v>
      </c>
      <c r="G451" s="15">
        <v>39.92</v>
      </c>
      <c r="H451" s="16">
        <v>3.7508717392568371E-2</v>
      </c>
      <c r="I451" s="16">
        <v>2.0170137055361161E-2</v>
      </c>
      <c r="J451" s="15">
        <v>23.51</v>
      </c>
      <c r="K451" s="14">
        <v>46</v>
      </c>
      <c r="L451" s="14">
        <v>3</v>
      </c>
      <c r="M451" s="15">
        <v>4.84</v>
      </c>
      <c r="N451" s="17">
        <v>22514.880000000001</v>
      </c>
      <c r="O451" s="17">
        <v>844.50427104758978</v>
      </c>
      <c r="P451" s="17">
        <v>437.09444849414223</v>
      </c>
      <c r="Q451" s="17">
        <v>21233.281280458272</v>
      </c>
      <c r="R451" s="17">
        <v>13259.64</v>
      </c>
      <c r="S451" s="17">
        <v>7973.6412804582669</v>
      </c>
      <c r="T451" s="17">
        <v>14.52</v>
      </c>
    </row>
    <row r="452" spans="1:20" x14ac:dyDescent="0.3">
      <c r="A452" s="13">
        <v>45382</v>
      </c>
      <c r="B452" s="7" t="s">
        <v>116</v>
      </c>
      <c r="C452" s="7" t="s">
        <v>29</v>
      </c>
      <c r="D452" s="7" t="s">
        <v>102</v>
      </c>
      <c r="E452" s="7" t="s">
        <v>25</v>
      </c>
      <c r="F452" s="14">
        <v>4153</v>
      </c>
      <c r="G452" s="15">
        <v>115.26</v>
      </c>
      <c r="H452" s="16">
        <v>5.7442604118640828E-2</v>
      </c>
      <c r="I452" s="16">
        <v>5.1947628618769379E-2</v>
      </c>
      <c r="J452" s="15">
        <v>72.150000000000006</v>
      </c>
      <c r="K452" s="14">
        <v>2944</v>
      </c>
      <c r="L452" s="14">
        <v>1168</v>
      </c>
      <c r="M452" s="15">
        <v>24.09</v>
      </c>
      <c r="N452" s="17">
        <v>478674.78</v>
      </c>
      <c r="O452" s="17">
        <v>27496.325889117488</v>
      </c>
      <c r="P452" s="17">
        <v>23437.650774942609</v>
      </c>
      <c r="Q452" s="17">
        <v>427740.80333593988</v>
      </c>
      <c r="R452" s="17">
        <v>299638.95</v>
      </c>
      <c r="S452" s="17">
        <v>128101.8533359399</v>
      </c>
      <c r="T452" s="17">
        <v>28137.119999999999</v>
      </c>
    </row>
    <row r="453" spans="1:20" x14ac:dyDescent="0.3">
      <c r="A453" s="13">
        <v>45382</v>
      </c>
      <c r="B453" s="7" t="s">
        <v>116</v>
      </c>
      <c r="C453" s="7" t="s">
        <v>29</v>
      </c>
      <c r="D453" s="7" t="s">
        <v>102</v>
      </c>
      <c r="E453" s="7" t="s">
        <v>28</v>
      </c>
      <c r="F453" s="14">
        <v>1873</v>
      </c>
      <c r="G453" s="15">
        <v>116.35</v>
      </c>
      <c r="H453" s="16">
        <v>7.7203448316868678E-2</v>
      </c>
      <c r="I453" s="16">
        <v>4.7485154317626267E-2</v>
      </c>
      <c r="J453" s="15">
        <v>71.88</v>
      </c>
      <c r="K453" s="14">
        <v>1437</v>
      </c>
      <c r="L453" s="14">
        <v>432</v>
      </c>
      <c r="M453" s="15">
        <v>13</v>
      </c>
      <c r="N453" s="17">
        <v>217923.55</v>
      </c>
      <c r="O453" s="17">
        <v>16824.449529453541</v>
      </c>
      <c r="P453" s="17">
        <v>9549.2218189797277</v>
      </c>
      <c r="Q453" s="17">
        <v>191549.87865156669</v>
      </c>
      <c r="R453" s="17">
        <v>134631.24</v>
      </c>
      <c r="S453" s="17">
        <v>56918.638651566747</v>
      </c>
      <c r="T453" s="17">
        <v>5616</v>
      </c>
    </row>
    <row r="454" spans="1:20" x14ac:dyDescent="0.3">
      <c r="A454" s="13">
        <v>45382</v>
      </c>
      <c r="B454" s="7" t="s">
        <v>116</v>
      </c>
      <c r="C454" s="7" t="s">
        <v>29</v>
      </c>
      <c r="D454" s="7" t="s">
        <v>102</v>
      </c>
      <c r="E454" s="7" t="s">
        <v>30</v>
      </c>
      <c r="F454" s="14">
        <v>1255</v>
      </c>
      <c r="G454" s="15">
        <v>96.33</v>
      </c>
      <c r="H454" s="16">
        <v>4.4465114261890211E-2</v>
      </c>
      <c r="I454" s="16">
        <v>2.2107730417682801E-2</v>
      </c>
      <c r="J454" s="15">
        <v>70.83</v>
      </c>
      <c r="K454" s="14">
        <v>107</v>
      </c>
      <c r="L454" s="14">
        <v>6</v>
      </c>
      <c r="M454" s="15">
        <v>4.6900000000000004</v>
      </c>
      <c r="N454" s="17">
        <v>120894.15</v>
      </c>
      <c r="O454" s="17">
        <v>5375.5721933440946</v>
      </c>
      <c r="P454" s="17">
        <v>2553.8535763836639</v>
      </c>
      <c r="Q454" s="17">
        <v>112964.7242302722</v>
      </c>
      <c r="R454" s="17">
        <v>88891.65</v>
      </c>
      <c r="S454" s="17">
        <v>24073.074230272239</v>
      </c>
      <c r="T454" s="17">
        <v>28.14</v>
      </c>
    </row>
    <row r="455" spans="1:20" x14ac:dyDescent="0.3">
      <c r="A455" s="13">
        <v>45382</v>
      </c>
      <c r="B455" s="7" t="s">
        <v>116</v>
      </c>
      <c r="C455" s="7" t="s">
        <v>29</v>
      </c>
      <c r="D455" s="7" t="s">
        <v>103</v>
      </c>
      <c r="E455" s="7" t="s">
        <v>25</v>
      </c>
      <c r="F455" s="14">
        <v>1879</v>
      </c>
      <c r="G455" s="15">
        <v>213.96</v>
      </c>
      <c r="H455" s="16">
        <v>5.8356879230584129E-2</v>
      </c>
      <c r="I455" s="16">
        <v>3.0100422074479861E-2</v>
      </c>
      <c r="J455" s="15">
        <v>120.33</v>
      </c>
      <c r="K455" s="14">
        <v>1289</v>
      </c>
      <c r="L455" s="14">
        <v>503</v>
      </c>
      <c r="M455" s="15">
        <v>27.33</v>
      </c>
      <c r="N455" s="17">
        <v>402030.84</v>
      </c>
      <c r="O455" s="17">
        <v>23461.265176850291</v>
      </c>
      <c r="P455" s="17">
        <v>11395.103986733189</v>
      </c>
      <c r="Q455" s="17">
        <v>367174.47083641653</v>
      </c>
      <c r="R455" s="17">
        <v>226100.07</v>
      </c>
      <c r="S455" s="17">
        <v>141074.40083641649</v>
      </c>
      <c r="T455" s="17">
        <v>13746.99</v>
      </c>
    </row>
    <row r="456" spans="1:20" x14ac:dyDescent="0.3">
      <c r="A456" s="13">
        <v>45382</v>
      </c>
      <c r="B456" s="7" t="s">
        <v>116</v>
      </c>
      <c r="C456" s="7" t="s">
        <v>29</v>
      </c>
      <c r="D456" s="7" t="s">
        <v>103</v>
      </c>
      <c r="E456" s="7" t="s">
        <v>28</v>
      </c>
      <c r="F456" s="14">
        <v>654</v>
      </c>
      <c r="G456" s="15">
        <v>207.64</v>
      </c>
      <c r="H456" s="16">
        <v>8.4179804810736156E-2</v>
      </c>
      <c r="I456" s="16">
        <v>6.6120792702551334E-2</v>
      </c>
      <c r="J456" s="15">
        <v>122.44</v>
      </c>
      <c r="K456" s="14">
        <v>551</v>
      </c>
      <c r="L456" s="14">
        <v>167</v>
      </c>
      <c r="M456" s="15">
        <v>19.440000000000001</v>
      </c>
      <c r="N456" s="17">
        <v>135796.56</v>
      </c>
      <c r="O456" s="17">
        <v>11431.327914769419</v>
      </c>
      <c r="P456" s="17">
        <v>8223.1277301122173</v>
      </c>
      <c r="Q456" s="17">
        <v>116142.1043551184</v>
      </c>
      <c r="R456" s="17">
        <v>80075.759999999995</v>
      </c>
      <c r="S456" s="17">
        <v>36066.344355118359</v>
      </c>
      <c r="T456" s="17">
        <v>3246.48</v>
      </c>
    </row>
    <row r="457" spans="1:20" x14ac:dyDescent="0.3">
      <c r="A457" s="13">
        <v>45382</v>
      </c>
      <c r="B457" s="7" t="s">
        <v>116</v>
      </c>
      <c r="C457" s="7" t="s">
        <v>29</v>
      </c>
      <c r="D457" s="7" t="s">
        <v>103</v>
      </c>
      <c r="E457" s="7" t="s">
        <v>30</v>
      </c>
      <c r="F457" s="14">
        <v>551</v>
      </c>
      <c r="G457" s="15">
        <v>177.68</v>
      </c>
      <c r="H457" s="16">
        <v>2.7481134049773499E-2</v>
      </c>
      <c r="I457" s="16">
        <v>2.0802448119867398E-2</v>
      </c>
      <c r="J457" s="15">
        <v>128.44999999999999</v>
      </c>
      <c r="K457" s="14">
        <v>46</v>
      </c>
      <c r="L457" s="14">
        <v>3</v>
      </c>
      <c r="M457" s="15">
        <v>4.68</v>
      </c>
      <c r="N457" s="17">
        <v>97901.680000000008</v>
      </c>
      <c r="O457" s="17">
        <v>2690.4491917780292</v>
      </c>
      <c r="P457" s="17">
        <v>1980.626689316759</v>
      </c>
      <c r="Q457" s="17">
        <v>93230.604118905219</v>
      </c>
      <c r="R457" s="17">
        <v>70775.95</v>
      </c>
      <c r="S457" s="17">
        <v>22454.654118905219</v>
      </c>
      <c r="T457" s="17">
        <v>14.04</v>
      </c>
    </row>
    <row r="458" spans="1:20" x14ac:dyDescent="0.3">
      <c r="A458" s="13">
        <v>45382</v>
      </c>
      <c r="B458" s="7" t="s">
        <v>116</v>
      </c>
      <c r="C458" s="7" t="s">
        <v>29</v>
      </c>
      <c r="D458" s="7" t="s">
        <v>104</v>
      </c>
      <c r="E458" s="7" t="s">
        <v>25</v>
      </c>
      <c r="F458" s="14">
        <v>1233</v>
      </c>
      <c r="G458" s="15">
        <v>45.64</v>
      </c>
      <c r="H458" s="16">
        <v>4.8679186596820009E-2</v>
      </c>
      <c r="I458" s="16">
        <v>4.7313802525749918E-2</v>
      </c>
      <c r="J458" s="15">
        <v>22.47</v>
      </c>
      <c r="K458" s="14">
        <v>863</v>
      </c>
      <c r="L458" s="14">
        <v>334</v>
      </c>
      <c r="M458" s="15">
        <v>31.18</v>
      </c>
      <c r="N458" s="17">
        <v>56274.12</v>
      </c>
      <c r="O458" s="17">
        <v>2739.3783880518408</v>
      </c>
      <c r="P458" s="17">
        <v>2532.932192894762</v>
      </c>
      <c r="Q458" s="17">
        <v>51001.809419053403</v>
      </c>
      <c r="R458" s="17">
        <v>27705.51</v>
      </c>
      <c r="S458" s="17">
        <v>23296.299419053401</v>
      </c>
      <c r="T458" s="17">
        <v>10414.120000000001</v>
      </c>
    </row>
    <row r="459" spans="1:20" x14ac:dyDescent="0.3">
      <c r="A459" s="13">
        <v>45382</v>
      </c>
      <c r="B459" s="7" t="s">
        <v>116</v>
      </c>
      <c r="C459" s="7" t="s">
        <v>29</v>
      </c>
      <c r="D459" s="7" t="s">
        <v>104</v>
      </c>
      <c r="E459" s="7" t="s">
        <v>28</v>
      </c>
      <c r="F459" s="14">
        <v>679</v>
      </c>
      <c r="G459" s="15">
        <v>40.47</v>
      </c>
      <c r="H459" s="16">
        <v>0.10107213552119899</v>
      </c>
      <c r="I459" s="16">
        <v>5.9029670924512223E-2</v>
      </c>
      <c r="J459" s="15">
        <v>22.13</v>
      </c>
      <c r="K459" s="14">
        <v>589</v>
      </c>
      <c r="L459" s="14">
        <v>186</v>
      </c>
      <c r="M459" s="15">
        <v>18.239999999999998</v>
      </c>
      <c r="N459" s="17">
        <v>27479.13</v>
      </c>
      <c r="O459" s="17">
        <v>2777.3743513646459</v>
      </c>
      <c r="P459" s="17">
        <v>1458.1365071966561</v>
      </c>
      <c r="Q459" s="17">
        <v>23243.619141438699</v>
      </c>
      <c r="R459" s="17">
        <v>15026.27</v>
      </c>
      <c r="S459" s="17">
        <v>8217.3491414387008</v>
      </c>
      <c r="T459" s="17">
        <v>3392.64</v>
      </c>
    </row>
    <row r="460" spans="1:20" x14ac:dyDescent="0.3">
      <c r="A460" s="13">
        <v>45382</v>
      </c>
      <c r="B460" s="7" t="s">
        <v>116</v>
      </c>
      <c r="C460" s="7" t="s">
        <v>29</v>
      </c>
      <c r="D460" s="7" t="s">
        <v>104</v>
      </c>
      <c r="E460" s="7" t="s">
        <v>30</v>
      </c>
      <c r="F460" s="14">
        <v>498</v>
      </c>
      <c r="G460" s="15">
        <v>35.32</v>
      </c>
      <c r="H460" s="16">
        <v>3.7638820864181632E-2</v>
      </c>
      <c r="I460" s="16">
        <v>2.0893473584052379E-2</v>
      </c>
      <c r="J460" s="15">
        <v>22.9</v>
      </c>
      <c r="K460" s="14">
        <v>43</v>
      </c>
      <c r="L460" s="14">
        <v>3</v>
      </c>
      <c r="M460" s="15">
        <v>5.54</v>
      </c>
      <c r="N460" s="17">
        <v>17589.36</v>
      </c>
      <c r="O460" s="17">
        <v>662.04277015560172</v>
      </c>
      <c r="P460" s="17">
        <v>353.67045539062872</v>
      </c>
      <c r="Q460" s="17">
        <v>16573.646774453769</v>
      </c>
      <c r="R460" s="17">
        <v>11404.2</v>
      </c>
      <c r="S460" s="17">
        <v>5169.4467744537742</v>
      </c>
      <c r="T460" s="17">
        <v>16.62</v>
      </c>
    </row>
    <row r="461" spans="1:20" x14ac:dyDescent="0.3">
      <c r="A461" s="13">
        <v>45382</v>
      </c>
      <c r="B461" s="7" t="s">
        <v>116</v>
      </c>
      <c r="C461" s="7" t="s">
        <v>31</v>
      </c>
      <c r="D461" s="7" t="s">
        <v>102</v>
      </c>
      <c r="E461" s="7" t="s">
        <v>25</v>
      </c>
      <c r="F461" s="14">
        <v>1508</v>
      </c>
      <c r="G461" s="15">
        <v>112.96</v>
      </c>
      <c r="H461" s="16">
        <v>5.8634570097804942E-2</v>
      </c>
      <c r="I461" s="16">
        <v>4.5333592447054497E-2</v>
      </c>
      <c r="J461" s="15">
        <v>69.83</v>
      </c>
      <c r="K461" s="14">
        <v>1143</v>
      </c>
      <c r="L461" s="14">
        <v>441</v>
      </c>
      <c r="M461" s="15">
        <v>39.020000000000003</v>
      </c>
      <c r="N461" s="17">
        <v>170343.67999999999</v>
      </c>
      <c r="O461" s="17">
        <v>9988.0284456780537</v>
      </c>
      <c r="P461" s="17">
        <v>7269.497754145511</v>
      </c>
      <c r="Q461" s="17">
        <v>153086.1538001764</v>
      </c>
      <c r="R461" s="17">
        <v>105303.64</v>
      </c>
      <c r="S461" s="17">
        <v>47782.513800176428</v>
      </c>
      <c r="T461" s="17">
        <v>17207.82</v>
      </c>
    </row>
    <row r="462" spans="1:20" x14ac:dyDescent="0.3">
      <c r="A462" s="13">
        <v>45382</v>
      </c>
      <c r="B462" s="7" t="s">
        <v>116</v>
      </c>
      <c r="C462" s="7" t="s">
        <v>31</v>
      </c>
      <c r="D462" s="7" t="s">
        <v>102</v>
      </c>
      <c r="E462" s="7" t="s">
        <v>28</v>
      </c>
      <c r="F462" s="14">
        <v>966</v>
      </c>
      <c r="G462" s="15">
        <v>101.43</v>
      </c>
      <c r="H462" s="16">
        <v>9.4490201389376666E-2</v>
      </c>
      <c r="I462" s="16">
        <v>7.3996921085116033E-2</v>
      </c>
      <c r="J462" s="15">
        <v>67.66</v>
      </c>
      <c r="K462" s="14">
        <v>833</v>
      </c>
      <c r="L462" s="14">
        <v>245</v>
      </c>
      <c r="M462" s="15">
        <v>21.45</v>
      </c>
      <c r="N462" s="17">
        <v>97981.38</v>
      </c>
      <c r="O462" s="17">
        <v>9258.2803286090439</v>
      </c>
      <c r="P462" s="17">
        <v>6565.2362048108007</v>
      </c>
      <c r="Q462" s="17">
        <v>82157.863466580151</v>
      </c>
      <c r="R462" s="17">
        <v>65359.56</v>
      </c>
      <c r="S462" s="17">
        <v>16798.30346658015</v>
      </c>
      <c r="T462" s="17">
        <v>5255.25</v>
      </c>
    </row>
    <row r="463" spans="1:20" x14ac:dyDescent="0.3">
      <c r="A463" s="13">
        <v>45382</v>
      </c>
      <c r="B463" s="7" t="s">
        <v>116</v>
      </c>
      <c r="C463" s="7" t="s">
        <v>31</v>
      </c>
      <c r="D463" s="7" t="s">
        <v>102</v>
      </c>
      <c r="E463" s="7" t="s">
        <v>30</v>
      </c>
      <c r="F463" s="14">
        <v>830</v>
      </c>
      <c r="G463" s="15">
        <v>89.45</v>
      </c>
      <c r="H463" s="16">
        <v>4.1845676009135177E-2</v>
      </c>
      <c r="I463" s="16">
        <v>1.737716493116475E-2</v>
      </c>
      <c r="J463" s="15">
        <v>70.88</v>
      </c>
      <c r="K463" s="14">
        <v>67</v>
      </c>
      <c r="L463" s="14">
        <v>4</v>
      </c>
      <c r="M463" s="15">
        <v>5.38</v>
      </c>
      <c r="N463" s="17">
        <v>74243.5</v>
      </c>
      <c r="O463" s="17">
        <v>3106.769446784228</v>
      </c>
      <c r="P463" s="17">
        <v>1236.1546994870571</v>
      </c>
      <c r="Q463" s="17">
        <v>69900.575853728718</v>
      </c>
      <c r="R463" s="17">
        <v>58830.399999999987</v>
      </c>
      <c r="S463" s="17">
        <v>11070.175853728721</v>
      </c>
      <c r="T463" s="17">
        <v>21.52</v>
      </c>
    </row>
    <row r="464" spans="1:20" x14ac:dyDescent="0.3">
      <c r="A464" s="13">
        <v>45382</v>
      </c>
      <c r="B464" s="7" t="s">
        <v>116</v>
      </c>
      <c r="C464" s="7" t="s">
        <v>31</v>
      </c>
      <c r="D464" s="7" t="s">
        <v>103</v>
      </c>
      <c r="E464" s="7" t="s">
        <v>25</v>
      </c>
      <c r="F464" s="14">
        <v>805</v>
      </c>
      <c r="G464" s="15">
        <v>202.1</v>
      </c>
      <c r="H464" s="16">
        <v>4.0806639364606483E-2</v>
      </c>
      <c r="I464" s="16">
        <v>5.0126374096440718E-2</v>
      </c>
      <c r="J464" s="15">
        <v>116.21</v>
      </c>
      <c r="K464" s="14">
        <v>523</v>
      </c>
      <c r="L464" s="14">
        <v>183</v>
      </c>
      <c r="M464" s="15">
        <v>50.68</v>
      </c>
      <c r="N464" s="17">
        <v>162690.5</v>
      </c>
      <c r="O464" s="17">
        <v>6638.85256154751</v>
      </c>
      <c r="P464" s="17">
        <v>7822.3032578657449</v>
      </c>
      <c r="Q464" s="17">
        <v>148229.34418058669</v>
      </c>
      <c r="R464" s="17">
        <v>93549.049999999988</v>
      </c>
      <c r="S464" s="17">
        <v>54680.294180586759</v>
      </c>
      <c r="T464" s="17">
        <v>9274.44</v>
      </c>
    </row>
    <row r="465" spans="1:20" x14ac:dyDescent="0.3">
      <c r="A465" s="13">
        <v>45382</v>
      </c>
      <c r="B465" s="7" t="s">
        <v>116</v>
      </c>
      <c r="C465" s="7" t="s">
        <v>31</v>
      </c>
      <c r="D465" s="7" t="s">
        <v>103</v>
      </c>
      <c r="E465" s="7" t="s">
        <v>28</v>
      </c>
      <c r="F465" s="14">
        <v>550</v>
      </c>
      <c r="G465" s="15">
        <v>193.34</v>
      </c>
      <c r="H465" s="16">
        <v>0.1129928302338935</v>
      </c>
      <c r="I465" s="16">
        <v>3.5429564138459747E-2</v>
      </c>
      <c r="J465" s="15">
        <v>110.51</v>
      </c>
      <c r="K465" s="14">
        <v>455</v>
      </c>
      <c r="L465" s="14">
        <v>136</v>
      </c>
      <c r="M465" s="15">
        <v>15.98</v>
      </c>
      <c r="N465" s="17">
        <v>106337</v>
      </c>
      <c r="O465" s="17">
        <v>12015.318588581529</v>
      </c>
      <c r="P465" s="17">
        <v>3341.776061213217</v>
      </c>
      <c r="Q465" s="17">
        <v>90979.905350205256</v>
      </c>
      <c r="R465" s="17">
        <v>60780.5</v>
      </c>
      <c r="S465" s="17">
        <v>30199.405350205259</v>
      </c>
      <c r="T465" s="17">
        <v>2173.2800000000002</v>
      </c>
    </row>
    <row r="466" spans="1:20" x14ac:dyDescent="0.3">
      <c r="A466" s="13">
        <v>45382</v>
      </c>
      <c r="B466" s="7" t="s">
        <v>116</v>
      </c>
      <c r="C466" s="7" t="s">
        <v>31</v>
      </c>
      <c r="D466" s="7" t="s">
        <v>103</v>
      </c>
      <c r="E466" s="7" t="s">
        <v>30</v>
      </c>
      <c r="F466" s="14">
        <v>323</v>
      </c>
      <c r="G466" s="15">
        <v>159.63</v>
      </c>
      <c r="H466" s="16">
        <v>2.6103136822186741E-2</v>
      </c>
      <c r="I466" s="16">
        <v>2.429007097651073E-2</v>
      </c>
      <c r="J466" s="15">
        <v>113.87</v>
      </c>
      <c r="K466" s="14">
        <v>27</v>
      </c>
      <c r="L466" s="14">
        <v>2</v>
      </c>
      <c r="M466" s="15">
        <v>3.18</v>
      </c>
      <c r="N466" s="17">
        <v>51560.49</v>
      </c>
      <c r="O466" s="17">
        <v>1345.8905250889909</v>
      </c>
      <c r="P466" s="17">
        <v>1219.7161853026471</v>
      </c>
      <c r="Q466" s="17">
        <v>48994.883289608362</v>
      </c>
      <c r="R466" s="17">
        <v>36780.01</v>
      </c>
      <c r="S466" s="17">
        <v>12214.87328960836</v>
      </c>
      <c r="T466" s="17">
        <v>6.36</v>
      </c>
    </row>
    <row r="467" spans="1:20" x14ac:dyDescent="0.3">
      <c r="A467" s="13">
        <v>45382</v>
      </c>
      <c r="B467" s="7" t="s">
        <v>116</v>
      </c>
      <c r="C467" s="7" t="s">
        <v>31</v>
      </c>
      <c r="D467" s="7" t="s">
        <v>104</v>
      </c>
      <c r="E467" s="7" t="s">
        <v>25</v>
      </c>
      <c r="F467" s="14">
        <v>656</v>
      </c>
      <c r="G467" s="15">
        <v>40.58</v>
      </c>
      <c r="H467" s="16">
        <v>5.8565739910686837E-2</v>
      </c>
      <c r="I467" s="16">
        <v>3.6294172375992168E-2</v>
      </c>
      <c r="J467" s="15">
        <v>20.54</v>
      </c>
      <c r="K467" s="14">
        <v>467</v>
      </c>
      <c r="L467" s="14">
        <v>176</v>
      </c>
      <c r="M467" s="15">
        <v>27.88</v>
      </c>
      <c r="N467" s="17">
        <v>26620.48</v>
      </c>
      <c r="O467" s="17">
        <v>1559.0481079776409</v>
      </c>
      <c r="P467" s="17">
        <v>909.58392907824725</v>
      </c>
      <c r="Q467" s="17">
        <v>24151.84796294411</v>
      </c>
      <c r="R467" s="17">
        <v>13474.24</v>
      </c>
      <c r="S467" s="17">
        <v>10677.60796294411</v>
      </c>
      <c r="T467" s="17">
        <v>4906.88</v>
      </c>
    </row>
    <row r="468" spans="1:20" x14ac:dyDescent="0.3">
      <c r="A468" s="13">
        <v>45382</v>
      </c>
      <c r="B468" s="7" t="s">
        <v>116</v>
      </c>
      <c r="C468" s="7" t="s">
        <v>31</v>
      </c>
      <c r="D468" s="7" t="s">
        <v>104</v>
      </c>
      <c r="E468" s="7" t="s">
        <v>28</v>
      </c>
      <c r="F468" s="14">
        <v>319</v>
      </c>
      <c r="G468" s="15">
        <v>37.630000000000003</v>
      </c>
      <c r="H468" s="16">
        <v>8.7549707311168498E-2</v>
      </c>
      <c r="I468" s="16">
        <v>2.7344024303357181E-2</v>
      </c>
      <c r="J468" s="15">
        <v>21.52</v>
      </c>
      <c r="K468" s="14">
        <v>269</v>
      </c>
      <c r="L468" s="14">
        <v>82</v>
      </c>
      <c r="M468" s="15">
        <v>22.63</v>
      </c>
      <c r="N468" s="17">
        <v>12003.97</v>
      </c>
      <c r="O468" s="17">
        <v>1050.944060072047</v>
      </c>
      <c r="P468" s="17">
        <v>299.49980749669152</v>
      </c>
      <c r="Q468" s="17">
        <v>10653.52613243126</v>
      </c>
      <c r="R468" s="17">
        <v>6864.88</v>
      </c>
      <c r="S468" s="17">
        <v>3788.6461324312609</v>
      </c>
      <c r="T468" s="17">
        <v>1855.66</v>
      </c>
    </row>
    <row r="469" spans="1:20" x14ac:dyDescent="0.3">
      <c r="A469" s="13">
        <v>45382</v>
      </c>
      <c r="B469" s="7" t="s">
        <v>116</v>
      </c>
      <c r="C469" s="7" t="s">
        <v>31</v>
      </c>
      <c r="D469" s="7" t="s">
        <v>104</v>
      </c>
      <c r="E469" s="7" t="s">
        <v>30</v>
      </c>
      <c r="F469" s="14">
        <v>178</v>
      </c>
      <c r="G469" s="15">
        <v>34.71</v>
      </c>
      <c r="H469" s="16">
        <v>3.7310652302199113E-2</v>
      </c>
      <c r="I469" s="16">
        <v>1.6538748353670519E-2</v>
      </c>
      <c r="J469" s="15">
        <v>20.14</v>
      </c>
      <c r="K469" s="14">
        <v>14</v>
      </c>
      <c r="L469" s="14">
        <v>1</v>
      </c>
      <c r="M469" s="15">
        <v>5.09</v>
      </c>
      <c r="N469" s="17">
        <v>6178.38</v>
      </c>
      <c r="O469" s="17">
        <v>230.51938797086089</v>
      </c>
      <c r="P469" s="17">
        <v>98.370169905058646</v>
      </c>
      <c r="Q469" s="17">
        <v>5849.4904421240799</v>
      </c>
      <c r="R469" s="17">
        <v>3584.92</v>
      </c>
      <c r="S469" s="17">
        <v>2264.5704421240798</v>
      </c>
      <c r="T469" s="17">
        <v>5.09</v>
      </c>
    </row>
    <row r="470" spans="1:20" x14ac:dyDescent="0.3">
      <c r="A470" s="13">
        <v>45412</v>
      </c>
      <c r="B470" s="7" t="s">
        <v>117</v>
      </c>
      <c r="C470" s="7" t="s">
        <v>24</v>
      </c>
      <c r="D470" s="7" t="s">
        <v>102</v>
      </c>
      <c r="E470" s="7" t="s">
        <v>25</v>
      </c>
      <c r="F470" s="14">
        <v>8206</v>
      </c>
      <c r="G470" s="15">
        <v>124.73</v>
      </c>
      <c r="H470" s="16">
        <v>5.2682870649658833E-2</v>
      </c>
      <c r="I470" s="16">
        <v>4.8232799156777063E-2</v>
      </c>
      <c r="J470" s="15">
        <v>72.33</v>
      </c>
      <c r="K470" s="14">
        <v>5654</v>
      </c>
      <c r="L470" s="14">
        <v>2190</v>
      </c>
      <c r="M470" s="15">
        <v>32.1</v>
      </c>
      <c r="N470" s="17">
        <v>1023534.38</v>
      </c>
      <c r="O470" s="17">
        <v>53922.729347018743</v>
      </c>
      <c r="P470" s="17">
        <v>46767.084006016317</v>
      </c>
      <c r="Q470" s="17">
        <v>922844.56664696487</v>
      </c>
      <c r="R470" s="17">
        <v>593539.98</v>
      </c>
      <c r="S470" s="17">
        <v>329304.58664696489</v>
      </c>
      <c r="T470" s="17">
        <v>70299</v>
      </c>
    </row>
    <row r="471" spans="1:20" x14ac:dyDescent="0.3">
      <c r="A471" s="13">
        <v>45412</v>
      </c>
      <c r="B471" s="7" t="s">
        <v>117</v>
      </c>
      <c r="C471" s="7" t="s">
        <v>24</v>
      </c>
      <c r="D471" s="7" t="s">
        <v>102</v>
      </c>
      <c r="E471" s="7" t="s">
        <v>28</v>
      </c>
      <c r="F471" s="14">
        <v>2977</v>
      </c>
      <c r="G471" s="15">
        <v>115.66</v>
      </c>
      <c r="H471" s="16">
        <v>0.1035246355247061</v>
      </c>
      <c r="I471" s="16">
        <v>5.2536437424221892E-2</v>
      </c>
      <c r="J471" s="15">
        <v>70.16</v>
      </c>
      <c r="K471" s="14">
        <v>2610</v>
      </c>
      <c r="L471" s="14">
        <v>814</v>
      </c>
      <c r="M471" s="15">
        <v>15.54</v>
      </c>
      <c r="N471" s="17">
        <v>344319.82</v>
      </c>
      <c r="O471" s="17">
        <v>35645.583869432427</v>
      </c>
      <c r="P471" s="17">
        <v>16216.644690943051</v>
      </c>
      <c r="Q471" s="17">
        <v>292457.59143962449</v>
      </c>
      <c r="R471" s="17">
        <v>208866.32</v>
      </c>
      <c r="S471" s="17">
        <v>83591.271439624514</v>
      </c>
      <c r="T471" s="17">
        <v>12649.56</v>
      </c>
    </row>
    <row r="472" spans="1:20" x14ac:dyDescent="0.3">
      <c r="A472" s="13">
        <v>45412</v>
      </c>
      <c r="B472" s="7" t="s">
        <v>117</v>
      </c>
      <c r="C472" s="7" t="s">
        <v>24</v>
      </c>
      <c r="D472" s="7" t="s">
        <v>102</v>
      </c>
      <c r="E472" s="7" t="s">
        <v>30</v>
      </c>
      <c r="F472" s="14">
        <v>2064</v>
      </c>
      <c r="G472" s="15">
        <v>99.17</v>
      </c>
      <c r="H472" s="16">
        <v>2.7546471945528801E-2</v>
      </c>
      <c r="I472" s="16">
        <v>1.9569651536045531E-2</v>
      </c>
      <c r="J472" s="15">
        <v>71.52</v>
      </c>
      <c r="K472" s="14">
        <v>175</v>
      </c>
      <c r="L472" s="14">
        <v>9</v>
      </c>
      <c r="M472" s="15">
        <v>4.71</v>
      </c>
      <c r="N472" s="17">
        <v>204686.88</v>
      </c>
      <c r="O472" s="17">
        <v>5638.4013975378202</v>
      </c>
      <c r="P472" s="17">
        <v>3895.3093650302012</v>
      </c>
      <c r="Q472" s="17">
        <v>195153.16923743201</v>
      </c>
      <c r="R472" s="17">
        <v>147617.28</v>
      </c>
      <c r="S472" s="17">
        <v>47535.889237431977</v>
      </c>
      <c r="T472" s="17">
        <v>42.39</v>
      </c>
    </row>
    <row r="473" spans="1:20" x14ac:dyDescent="0.3">
      <c r="A473" s="13">
        <v>45412</v>
      </c>
      <c r="B473" s="7" t="s">
        <v>117</v>
      </c>
      <c r="C473" s="7" t="s">
        <v>24</v>
      </c>
      <c r="D473" s="7" t="s">
        <v>103</v>
      </c>
      <c r="E473" s="7" t="s">
        <v>25</v>
      </c>
      <c r="F473" s="14">
        <v>2941</v>
      </c>
      <c r="G473" s="15">
        <v>225.59</v>
      </c>
      <c r="H473" s="16">
        <v>6.2847224893825313E-2</v>
      </c>
      <c r="I473" s="16">
        <v>3.1147513138757771E-2</v>
      </c>
      <c r="J473" s="15">
        <v>123.83</v>
      </c>
      <c r="K473" s="14">
        <v>1933</v>
      </c>
      <c r="L473" s="14">
        <v>755</v>
      </c>
      <c r="M473" s="15">
        <v>39.51</v>
      </c>
      <c r="N473" s="17">
        <v>663460.19000000006</v>
      </c>
      <c r="O473" s="17">
        <v>41696.631769030078</v>
      </c>
      <c r="P473" s="17">
        <v>19366.38859919992</v>
      </c>
      <c r="Q473" s="17">
        <v>602397.16963177</v>
      </c>
      <c r="R473" s="17">
        <v>364184.03</v>
      </c>
      <c r="S473" s="17">
        <v>238213.13963177</v>
      </c>
      <c r="T473" s="17">
        <v>29830.05</v>
      </c>
    </row>
    <row r="474" spans="1:20" x14ac:dyDescent="0.3">
      <c r="A474" s="13">
        <v>45412</v>
      </c>
      <c r="B474" s="7" t="s">
        <v>117</v>
      </c>
      <c r="C474" s="7" t="s">
        <v>24</v>
      </c>
      <c r="D474" s="7" t="s">
        <v>103</v>
      </c>
      <c r="E474" s="7" t="s">
        <v>28</v>
      </c>
      <c r="F474" s="14">
        <v>1792</v>
      </c>
      <c r="G474" s="15">
        <v>213.72</v>
      </c>
      <c r="H474" s="16">
        <v>9.0106382493378823E-2</v>
      </c>
      <c r="I474" s="16">
        <v>5.5115834217772441E-2</v>
      </c>
      <c r="J474" s="15">
        <v>122.55</v>
      </c>
      <c r="K474" s="14">
        <v>1469</v>
      </c>
      <c r="L474" s="14">
        <v>448</v>
      </c>
      <c r="M474" s="15">
        <v>18.690000000000001</v>
      </c>
      <c r="N474" s="17">
        <v>382986.23999999999</v>
      </c>
      <c r="O474" s="17">
        <v>34509.504631140982</v>
      </c>
      <c r="P474" s="17">
        <v>19206.585975340589</v>
      </c>
      <c r="Q474" s="17">
        <v>329270.14939351851</v>
      </c>
      <c r="R474" s="17">
        <v>219609.60000000001</v>
      </c>
      <c r="S474" s="17">
        <v>109660.54939351841</v>
      </c>
      <c r="T474" s="17">
        <v>8373.1200000000008</v>
      </c>
    </row>
    <row r="475" spans="1:20" x14ac:dyDescent="0.3">
      <c r="A475" s="13">
        <v>45412</v>
      </c>
      <c r="B475" s="7" t="s">
        <v>117</v>
      </c>
      <c r="C475" s="7" t="s">
        <v>24</v>
      </c>
      <c r="D475" s="7" t="s">
        <v>103</v>
      </c>
      <c r="E475" s="7" t="s">
        <v>30</v>
      </c>
      <c r="F475" s="14">
        <v>1079</v>
      </c>
      <c r="G475" s="15">
        <v>180.06</v>
      </c>
      <c r="H475" s="16">
        <v>3.269630384667712E-2</v>
      </c>
      <c r="I475" s="16">
        <v>2.0797312534020649E-2</v>
      </c>
      <c r="J475" s="15">
        <v>119.86</v>
      </c>
      <c r="K475" s="14">
        <v>86</v>
      </c>
      <c r="L475" s="14">
        <v>5</v>
      </c>
      <c r="M475" s="15">
        <v>5.46</v>
      </c>
      <c r="N475" s="17">
        <v>194284.74</v>
      </c>
      <c r="O475" s="17">
        <v>6352.3928918126639</v>
      </c>
      <c r="P475" s="17">
        <v>3908.4877580610232</v>
      </c>
      <c r="Q475" s="17">
        <v>184023.85935012629</v>
      </c>
      <c r="R475" s="17">
        <v>129328.94</v>
      </c>
      <c r="S475" s="17">
        <v>54694.919350126293</v>
      </c>
      <c r="T475" s="17">
        <v>27.3</v>
      </c>
    </row>
    <row r="476" spans="1:20" x14ac:dyDescent="0.3">
      <c r="A476" s="13">
        <v>45412</v>
      </c>
      <c r="B476" s="7" t="s">
        <v>117</v>
      </c>
      <c r="C476" s="7" t="s">
        <v>24</v>
      </c>
      <c r="D476" s="7" t="s">
        <v>104</v>
      </c>
      <c r="E476" s="7" t="s">
        <v>25</v>
      </c>
      <c r="F476" s="14">
        <v>2856</v>
      </c>
      <c r="G476" s="15">
        <v>47.74</v>
      </c>
      <c r="H476" s="16">
        <v>5.1055235926486323E-2</v>
      </c>
      <c r="I476" s="16">
        <v>4.4201915428949919E-2</v>
      </c>
      <c r="J476" s="15">
        <v>22</v>
      </c>
      <c r="K476" s="14">
        <v>1815</v>
      </c>
      <c r="L476" s="14">
        <v>717</v>
      </c>
      <c r="M476" s="15">
        <v>32.56</v>
      </c>
      <c r="N476" s="17">
        <v>136345.44</v>
      </c>
      <c r="O476" s="17">
        <v>6961.1486067005844</v>
      </c>
      <c r="P476" s="17">
        <v>5719.033506001233</v>
      </c>
      <c r="Q476" s="17">
        <v>123665.2578872982</v>
      </c>
      <c r="R476" s="17">
        <v>62832</v>
      </c>
      <c r="S476" s="17">
        <v>60833.257887298183</v>
      </c>
      <c r="T476" s="17">
        <v>23345.52</v>
      </c>
    </row>
    <row r="477" spans="1:20" x14ac:dyDescent="0.3">
      <c r="A477" s="13">
        <v>45412</v>
      </c>
      <c r="B477" s="7" t="s">
        <v>117</v>
      </c>
      <c r="C477" s="7" t="s">
        <v>24</v>
      </c>
      <c r="D477" s="7" t="s">
        <v>104</v>
      </c>
      <c r="E477" s="7" t="s">
        <v>28</v>
      </c>
      <c r="F477" s="14">
        <v>1028</v>
      </c>
      <c r="G477" s="15">
        <v>43.84</v>
      </c>
      <c r="H477" s="16">
        <v>8.4631324136202848E-2</v>
      </c>
      <c r="I477" s="16">
        <v>4.2239541626661603E-2</v>
      </c>
      <c r="J477" s="15">
        <v>22.31</v>
      </c>
      <c r="K477" s="14">
        <v>795</v>
      </c>
      <c r="L477" s="14">
        <v>233</v>
      </c>
      <c r="M477" s="15">
        <v>18.87</v>
      </c>
      <c r="N477" s="17">
        <v>45067.519999999997</v>
      </c>
      <c r="O477" s="17">
        <v>3814.1238931348048</v>
      </c>
      <c r="P477" s="17">
        <v>1742.5245420970921</v>
      </c>
      <c r="Q477" s="17">
        <v>39510.871564768109</v>
      </c>
      <c r="R477" s="17">
        <v>22934.68</v>
      </c>
      <c r="S477" s="17">
        <v>16576.191564768109</v>
      </c>
      <c r="T477" s="17">
        <v>4396.71</v>
      </c>
    </row>
    <row r="478" spans="1:20" x14ac:dyDescent="0.3">
      <c r="A478" s="13">
        <v>45412</v>
      </c>
      <c r="B478" s="7" t="s">
        <v>117</v>
      </c>
      <c r="C478" s="7" t="s">
        <v>24</v>
      </c>
      <c r="D478" s="7" t="s">
        <v>104</v>
      </c>
      <c r="E478" s="7" t="s">
        <v>30</v>
      </c>
      <c r="F478" s="14">
        <v>1024</v>
      </c>
      <c r="G478" s="15">
        <v>39.49</v>
      </c>
      <c r="H478" s="16">
        <v>3.2942959980671323E-2</v>
      </c>
      <c r="I478" s="16">
        <v>2.24378014854336E-2</v>
      </c>
      <c r="J478" s="15">
        <v>23.38</v>
      </c>
      <c r="K478" s="14">
        <v>86</v>
      </c>
      <c r="L478" s="14">
        <v>5</v>
      </c>
      <c r="M478" s="15">
        <v>5.43</v>
      </c>
      <c r="N478" s="17">
        <v>40437.760000000002</v>
      </c>
      <c r="O478" s="17">
        <v>1332.139509387991</v>
      </c>
      <c r="P478" s="17">
        <v>877.4441495330567</v>
      </c>
      <c r="Q478" s="17">
        <v>38228.176341078957</v>
      </c>
      <c r="R478" s="17">
        <v>23941.119999999999</v>
      </c>
      <c r="S478" s="17">
        <v>14287.05634107896</v>
      </c>
      <c r="T478" s="17">
        <v>27.15</v>
      </c>
    </row>
    <row r="479" spans="1:20" x14ac:dyDescent="0.3">
      <c r="A479" s="13">
        <v>45412</v>
      </c>
      <c r="B479" s="7" t="s">
        <v>117</v>
      </c>
      <c r="C479" s="7" t="s">
        <v>27</v>
      </c>
      <c r="D479" s="7" t="s">
        <v>102</v>
      </c>
      <c r="E479" s="7" t="s">
        <v>25</v>
      </c>
      <c r="F479" s="14">
        <v>5269</v>
      </c>
      <c r="G479" s="15">
        <v>129.94999999999999</v>
      </c>
      <c r="H479" s="16">
        <v>5.1268881656583207E-2</v>
      </c>
      <c r="I479" s="16">
        <v>3.6024422345082789E-2</v>
      </c>
      <c r="J479" s="15">
        <v>77.489999999999995</v>
      </c>
      <c r="K479" s="14">
        <v>3557</v>
      </c>
      <c r="L479" s="14">
        <v>1436</v>
      </c>
      <c r="M479" s="15">
        <v>34.19</v>
      </c>
      <c r="N479" s="17">
        <v>684706.54999999993</v>
      </c>
      <c r="O479" s="17">
        <v>35104.139081437374</v>
      </c>
      <c r="P479" s="17">
        <v>23401.551607314319</v>
      </c>
      <c r="Q479" s="17">
        <v>626200.85931124829</v>
      </c>
      <c r="R479" s="17">
        <v>408294.81</v>
      </c>
      <c r="S479" s="17">
        <v>217906.04931124829</v>
      </c>
      <c r="T479" s="17">
        <v>49096.84</v>
      </c>
    </row>
    <row r="480" spans="1:20" x14ac:dyDescent="0.3">
      <c r="A480" s="13">
        <v>45412</v>
      </c>
      <c r="B480" s="7" t="s">
        <v>117</v>
      </c>
      <c r="C480" s="7" t="s">
        <v>27</v>
      </c>
      <c r="D480" s="7" t="s">
        <v>102</v>
      </c>
      <c r="E480" s="7" t="s">
        <v>28</v>
      </c>
      <c r="F480" s="14">
        <v>2087</v>
      </c>
      <c r="G480" s="15">
        <v>124.41</v>
      </c>
      <c r="H480" s="16">
        <v>0.1032150090405165</v>
      </c>
      <c r="I480" s="16">
        <v>3.9423853061047412E-2</v>
      </c>
      <c r="J480" s="15">
        <v>78.319999999999993</v>
      </c>
      <c r="K480" s="14">
        <v>1718</v>
      </c>
      <c r="L480" s="14">
        <v>496</v>
      </c>
      <c r="M480" s="15">
        <v>20.68</v>
      </c>
      <c r="N480" s="17">
        <v>259643.67</v>
      </c>
      <c r="O480" s="17">
        <v>26799.12374636289</v>
      </c>
      <c r="P480" s="17">
        <v>9179.6291775696463</v>
      </c>
      <c r="Q480" s="17">
        <v>223664.91707606739</v>
      </c>
      <c r="R480" s="17">
        <v>163453.84</v>
      </c>
      <c r="S480" s="17">
        <v>60211.07707606745</v>
      </c>
      <c r="T480" s="17">
        <v>10257.280000000001</v>
      </c>
    </row>
    <row r="481" spans="1:20" x14ac:dyDescent="0.3">
      <c r="A481" s="13">
        <v>45412</v>
      </c>
      <c r="B481" s="7" t="s">
        <v>117</v>
      </c>
      <c r="C481" s="7" t="s">
        <v>27</v>
      </c>
      <c r="D481" s="7" t="s">
        <v>102</v>
      </c>
      <c r="E481" s="7" t="s">
        <v>30</v>
      </c>
      <c r="F481" s="14">
        <v>2418</v>
      </c>
      <c r="G481" s="15">
        <v>106.53</v>
      </c>
      <c r="H481" s="16">
        <v>3.6852025557599193E-2</v>
      </c>
      <c r="I481" s="16">
        <v>2.2468274238215749E-2</v>
      </c>
      <c r="J481" s="15">
        <v>77.62</v>
      </c>
      <c r="K481" s="14">
        <v>198</v>
      </c>
      <c r="L481" s="14">
        <v>12</v>
      </c>
      <c r="M481" s="15">
        <v>4</v>
      </c>
      <c r="N481" s="17">
        <v>257589.54</v>
      </c>
      <c r="O481" s="17">
        <v>9492.6963114502178</v>
      </c>
      <c r="P481" s="17">
        <v>5574.3079216300839</v>
      </c>
      <c r="Q481" s="17">
        <v>242522.5357669197</v>
      </c>
      <c r="R481" s="17">
        <v>187685.16</v>
      </c>
      <c r="S481" s="17">
        <v>54837.375766919693</v>
      </c>
      <c r="T481" s="17">
        <v>48</v>
      </c>
    </row>
    <row r="482" spans="1:20" x14ac:dyDescent="0.3">
      <c r="A482" s="13">
        <v>45412</v>
      </c>
      <c r="B482" s="7" t="s">
        <v>117</v>
      </c>
      <c r="C482" s="7" t="s">
        <v>27</v>
      </c>
      <c r="D482" s="7" t="s">
        <v>103</v>
      </c>
      <c r="E482" s="7" t="s">
        <v>25</v>
      </c>
      <c r="F482" s="14">
        <v>2326</v>
      </c>
      <c r="G482" s="15">
        <v>250.69</v>
      </c>
      <c r="H482" s="16">
        <v>5.3484087014316513E-2</v>
      </c>
      <c r="I482" s="16">
        <v>3.8046096488229757E-2</v>
      </c>
      <c r="J482" s="15">
        <v>126.35</v>
      </c>
      <c r="K482" s="14">
        <v>1594</v>
      </c>
      <c r="L482" s="14">
        <v>555</v>
      </c>
      <c r="M482" s="15">
        <v>27.45</v>
      </c>
      <c r="N482" s="17">
        <v>583104.93999999994</v>
      </c>
      <c r="O482" s="17">
        <v>31186.83534943781</v>
      </c>
      <c r="P482" s="17">
        <v>20998.329463136179</v>
      </c>
      <c r="Q482" s="17">
        <v>530919.77518742601</v>
      </c>
      <c r="R482" s="17">
        <v>293890.09999999998</v>
      </c>
      <c r="S482" s="17">
        <v>237029.67518742601</v>
      </c>
      <c r="T482" s="17">
        <v>15234.75</v>
      </c>
    </row>
    <row r="483" spans="1:20" x14ac:dyDescent="0.3">
      <c r="A483" s="13">
        <v>45412</v>
      </c>
      <c r="B483" s="7" t="s">
        <v>117</v>
      </c>
      <c r="C483" s="7" t="s">
        <v>27</v>
      </c>
      <c r="D483" s="7" t="s">
        <v>103</v>
      </c>
      <c r="E483" s="7" t="s">
        <v>28</v>
      </c>
      <c r="F483" s="14">
        <v>1128</v>
      </c>
      <c r="G483" s="15">
        <v>227.98</v>
      </c>
      <c r="H483" s="16">
        <v>9.4313583055569902E-2</v>
      </c>
      <c r="I483" s="16">
        <v>8.4804259027384268E-2</v>
      </c>
      <c r="J483" s="15">
        <v>128.62</v>
      </c>
      <c r="K483" s="14">
        <v>932</v>
      </c>
      <c r="L483" s="14">
        <v>273</v>
      </c>
      <c r="M483" s="15">
        <v>21.23</v>
      </c>
      <c r="N483" s="17">
        <v>257161.44</v>
      </c>
      <c r="O483" s="17">
        <v>24253.816830129959</v>
      </c>
      <c r="P483" s="17">
        <v>19751.558404750071</v>
      </c>
      <c r="Q483" s="17">
        <v>213156.06476512001</v>
      </c>
      <c r="R483" s="17">
        <v>145083.35999999999</v>
      </c>
      <c r="S483" s="17">
        <v>68072.704765119968</v>
      </c>
      <c r="T483" s="17">
        <v>5795.79</v>
      </c>
    </row>
    <row r="484" spans="1:20" x14ac:dyDescent="0.3">
      <c r="A484" s="13">
        <v>45412</v>
      </c>
      <c r="B484" s="7" t="s">
        <v>117</v>
      </c>
      <c r="C484" s="7" t="s">
        <v>27</v>
      </c>
      <c r="D484" s="7" t="s">
        <v>103</v>
      </c>
      <c r="E484" s="7" t="s">
        <v>30</v>
      </c>
      <c r="F484" s="14">
        <v>703</v>
      </c>
      <c r="G484" s="15">
        <v>195.09</v>
      </c>
      <c r="H484" s="16">
        <v>3.5563771555245788E-2</v>
      </c>
      <c r="I484" s="16">
        <v>2.5959496672067869E-2</v>
      </c>
      <c r="J484" s="15">
        <v>131.72999999999999</v>
      </c>
      <c r="K484" s="14">
        <v>59</v>
      </c>
      <c r="L484" s="14">
        <v>3</v>
      </c>
      <c r="M484" s="15">
        <v>5.22</v>
      </c>
      <c r="N484" s="17">
        <v>137148.26999999999</v>
      </c>
      <c r="O484" s="17">
        <v>4877.5097434771687</v>
      </c>
      <c r="P484" s="17">
        <v>3433.6823606910912</v>
      </c>
      <c r="Q484" s="17">
        <v>128837.0778958317</v>
      </c>
      <c r="R484" s="17">
        <v>92606.189999999988</v>
      </c>
      <c r="S484" s="17">
        <v>36230.887895831751</v>
      </c>
      <c r="T484" s="17">
        <v>15.66</v>
      </c>
    </row>
    <row r="485" spans="1:20" x14ac:dyDescent="0.3">
      <c r="A485" s="13">
        <v>45412</v>
      </c>
      <c r="B485" s="7" t="s">
        <v>117</v>
      </c>
      <c r="C485" s="7" t="s">
        <v>27</v>
      </c>
      <c r="D485" s="7" t="s">
        <v>104</v>
      </c>
      <c r="E485" s="7" t="s">
        <v>25</v>
      </c>
      <c r="F485" s="14">
        <v>1508</v>
      </c>
      <c r="G485" s="15">
        <v>50.75</v>
      </c>
      <c r="H485" s="16">
        <v>4.3405857748673282E-2</v>
      </c>
      <c r="I485" s="16">
        <v>3.1096821519801289E-2</v>
      </c>
      <c r="J485" s="15">
        <v>23.44</v>
      </c>
      <c r="K485" s="14">
        <v>1032</v>
      </c>
      <c r="L485" s="14">
        <v>399</v>
      </c>
      <c r="M485" s="15">
        <v>35.090000000000003</v>
      </c>
      <c r="N485" s="17">
        <v>76531</v>
      </c>
      <c r="O485" s="17">
        <v>3321.8936993637149</v>
      </c>
      <c r="P485" s="17">
        <v>2276.5705122550462</v>
      </c>
      <c r="Q485" s="17">
        <v>70932.535788381239</v>
      </c>
      <c r="R485" s="17">
        <v>35347.519999999997</v>
      </c>
      <c r="S485" s="17">
        <v>35585.015788381243</v>
      </c>
      <c r="T485" s="17">
        <v>14000.91</v>
      </c>
    </row>
    <row r="486" spans="1:20" x14ac:dyDescent="0.3">
      <c r="A486" s="13">
        <v>45412</v>
      </c>
      <c r="B486" s="7" t="s">
        <v>117</v>
      </c>
      <c r="C486" s="7" t="s">
        <v>27</v>
      </c>
      <c r="D486" s="7" t="s">
        <v>104</v>
      </c>
      <c r="E486" s="7" t="s">
        <v>28</v>
      </c>
      <c r="F486" s="14">
        <v>608</v>
      </c>
      <c r="G486" s="15">
        <v>48.51</v>
      </c>
      <c r="H486" s="16">
        <v>9.9353577387205391E-2</v>
      </c>
      <c r="I486" s="16">
        <v>6.8738569782132067E-2</v>
      </c>
      <c r="J486" s="15">
        <v>22.92</v>
      </c>
      <c r="K486" s="14">
        <v>503</v>
      </c>
      <c r="L486" s="14">
        <v>152</v>
      </c>
      <c r="M486" s="15">
        <v>11.82</v>
      </c>
      <c r="N486" s="17">
        <v>29494.080000000002</v>
      </c>
      <c r="O486" s="17">
        <v>2930.3423597444271</v>
      </c>
      <c r="P486" s="17">
        <v>1825.953333458956</v>
      </c>
      <c r="Q486" s="17">
        <v>24737.784306796621</v>
      </c>
      <c r="R486" s="17">
        <v>13935.36</v>
      </c>
      <c r="S486" s="17">
        <v>10802.42430679662</v>
      </c>
      <c r="T486" s="17">
        <v>1796.64</v>
      </c>
    </row>
    <row r="487" spans="1:20" x14ac:dyDescent="0.3">
      <c r="A487" s="13">
        <v>45412</v>
      </c>
      <c r="B487" s="7" t="s">
        <v>117</v>
      </c>
      <c r="C487" s="7" t="s">
        <v>27</v>
      </c>
      <c r="D487" s="7" t="s">
        <v>104</v>
      </c>
      <c r="E487" s="7" t="s">
        <v>30</v>
      </c>
      <c r="F487" s="14">
        <v>673</v>
      </c>
      <c r="G487" s="15">
        <v>42.17</v>
      </c>
      <c r="H487" s="16">
        <v>4.2576044936810407E-2</v>
      </c>
      <c r="I487" s="16">
        <v>2.1898198241929831E-2</v>
      </c>
      <c r="J487" s="15">
        <v>23.09</v>
      </c>
      <c r="K487" s="14">
        <v>58</v>
      </c>
      <c r="L487" s="14">
        <v>4</v>
      </c>
      <c r="M487" s="15">
        <v>4.88</v>
      </c>
      <c r="N487" s="17">
        <v>28380.41</v>
      </c>
      <c r="O487" s="17">
        <v>1208.325611485104</v>
      </c>
      <c r="P487" s="17">
        <v>595.01969058614588</v>
      </c>
      <c r="Q487" s="17">
        <v>26577.064697928749</v>
      </c>
      <c r="R487" s="17">
        <v>15539.57</v>
      </c>
      <c r="S487" s="17">
        <v>11037.494697928751</v>
      </c>
      <c r="T487" s="17">
        <v>19.52</v>
      </c>
    </row>
    <row r="488" spans="1:20" x14ac:dyDescent="0.3">
      <c r="A488" s="13">
        <v>45412</v>
      </c>
      <c r="B488" s="7" t="s">
        <v>117</v>
      </c>
      <c r="C488" s="7" t="s">
        <v>29</v>
      </c>
      <c r="D488" s="7" t="s">
        <v>102</v>
      </c>
      <c r="E488" s="7" t="s">
        <v>25</v>
      </c>
      <c r="F488" s="14">
        <v>5798</v>
      </c>
      <c r="G488" s="15">
        <v>117.57</v>
      </c>
      <c r="H488" s="16">
        <v>7.1928888981855704E-2</v>
      </c>
      <c r="I488" s="16">
        <v>2.5931849905024621E-2</v>
      </c>
      <c r="J488" s="15">
        <v>71.64</v>
      </c>
      <c r="K488" s="14">
        <v>3848</v>
      </c>
      <c r="L488" s="14">
        <v>1604</v>
      </c>
      <c r="M488" s="15">
        <v>27.76</v>
      </c>
      <c r="N488" s="17">
        <v>681670.86</v>
      </c>
      <c r="O488" s="17">
        <v>49031.827611106099</v>
      </c>
      <c r="P488" s="17">
        <v>16405.500431968809</v>
      </c>
      <c r="Q488" s="17">
        <v>616233.53195692506</v>
      </c>
      <c r="R488" s="17">
        <v>415368.72</v>
      </c>
      <c r="S488" s="17">
        <v>200864.811956925</v>
      </c>
      <c r="T488" s="17">
        <v>44527.040000000001</v>
      </c>
    </row>
    <row r="489" spans="1:20" x14ac:dyDescent="0.3">
      <c r="A489" s="13">
        <v>45412</v>
      </c>
      <c r="B489" s="7" t="s">
        <v>117</v>
      </c>
      <c r="C489" s="7" t="s">
        <v>29</v>
      </c>
      <c r="D489" s="7" t="s">
        <v>102</v>
      </c>
      <c r="E489" s="7" t="s">
        <v>28</v>
      </c>
      <c r="F489" s="14">
        <v>1513</v>
      </c>
      <c r="G489" s="15">
        <v>109.06</v>
      </c>
      <c r="H489" s="16">
        <v>6.9763284533811587E-2</v>
      </c>
      <c r="I489" s="16">
        <v>5.8622328534975683E-2</v>
      </c>
      <c r="J489" s="15">
        <v>70.22</v>
      </c>
      <c r="K489" s="14">
        <v>1272</v>
      </c>
      <c r="L489" s="14">
        <v>405</v>
      </c>
      <c r="M489" s="15">
        <v>19.78</v>
      </c>
      <c r="N489" s="17">
        <v>165007.78</v>
      </c>
      <c r="O489" s="17">
        <v>11511.48470643258</v>
      </c>
      <c r="P489" s="17">
        <v>8998.3102516011495</v>
      </c>
      <c r="Q489" s="17">
        <v>144497.98504196631</v>
      </c>
      <c r="R489" s="17">
        <v>106242.86</v>
      </c>
      <c r="S489" s="17">
        <v>38255.125041966246</v>
      </c>
      <c r="T489" s="17">
        <v>8010.9000000000005</v>
      </c>
    </row>
    <row r="490" spans="1:20" x14ac:dyDescent="0.3">
      <c r="A490" s="13">
        <v>45412</v>
      </c>
      <c r="B490" s="7" t="s">
        <v>117</v>
      </c>
      <c r="C490" s="7" t="s">
        <v>29</v>
      </c>
      <c r="D490" s="7" t="s">
        <v>102</v>
      </c>
      <c r="E490" s="7" t="s">
        <v>30</v>
      </c>
      <c r="F490" s="14">
        <v>1852</v>
      </c>
      <c r="G490" s="15">
        <v>97.74</v>
      </c>
      <c r="H490" s="16">
        <v>3.7921440963958601E-2</v>
      </c>
      <c r="I490" s="16">
        <v>1.1942163204485859E-2</v>
      </c>
      <c r="J490" s="15">
        <v>69.849999999999994</v>
      </c>
      <c r="K490" s="14">
        <v>154</v>
      </c>
      <c r="L490" s="14">
        <v>10</v>
      </c>
      <c r="M490" s="15">
        <v>4.7</v>
      </c>
      <c r="N490" s="17">
        <v>181014.48</v>
      </c>
      <c r="O490" s="17">
        <v>6864.3299169416641</v>
      </c>
      <c r="P490" s="17">
        <v>2079.7295143775891</v>
      </c>
      <c r="Q490" s="17">
        <v>172070.42056868071</v>
      </c>
      <c r="R490" s="17">
        <v>129362.2</v>
      </c>
      <c r="S490" s="17">
        <v>42708.220568680728</v>
      </c>
      <c r="T490" s="17">
        <v>47</v>
      </c>
    </row>
    <row r="491" spans="1:20" x14ac:dyDescent="0.3">
      <c r="A491" s="13">
        <v>45412</v>
      </c>
      <c r="B491" s="7" t="s">
        <v>117</v>
      </c>
      <c r="C491" s="7" t="s">
        <v>29</v>
      </c>
      <c r="D491" s="7" t="s">
        <v>103</v>
      </c>
      <c r="E491" s="7" t="s">
        <v>25</v>
      </c>
      <c r="F491" s="14">
        <v>2320</v>
      </c>
      <c r="G491" s="15">
        <v>218.24</v>
      </c>
      <c r="H491" s="16">
        <v>6.6043780545561481E-2</v>
      </c>
      <c r="I491" s="16">
        <v>5.5280313593878333E-2</v>
      </c>
      <c r="J491" s="15">
        <v>123.91</v>
      </c>
      <c r="K491" s="14">
        <v>1630</v>
      </c>
      <c r="L491" s="14">
        <v>576</v>
      </c>
      <c r="M491" s="15">
        <v>36.380000000000003</v>
      </c>
      <c r="N491" s="17">
        <v>506316.79999999999</v>
      </c>
      <c r="O491" s="17">
        <v>33439.075625730948</v>
      </c>
      <c r="P491" s="17">
        <v>26140.82889496916</v>
      </c>
      <c r="Q491" s="17">
        <v>446736.89547929988</v>
      </c>
      <c r="R491" s="17">
        <v>287471.2</v>
      </c>
      <c r="S491" s="17">
        <v>159265.6954792999</v>
      </c>
      <c r="T491" s="17">
        <v>20954.88</v>
      </c>
    </row>
    <row r="492" spans="1:20" x14ac:dyDescent="0.3">
      <c r="A492" s="13">
        <v>45412</v>
      </c>
      <c r="B492" s="7" t="s">
        <v>117</v>
      </c>
      <c r="C492" s="7" t="s">
        <v>29</v>
      </c>
      <c r="D492" s="7" t="s">
        <v>103</v>
      </c>
      <c r="E492" s="7" t="s">
        <v>28</v>
      </c>
      <c r="F492" s="14">
        <v>897</v>
      </c>
      <c r="G492" s="15">
        <v>197.46</v>
      </c>
      <c r="H492" s="16">
        <v>8.5282569082571091E-2</v>
      </c>
      <c r="I492" s="16">
        <v>4.8411468768656388E-2</v>
      </c>
      <c r="J492" s="15">
        <v>122.07</v>
      </c>
      <c r="K492" s="14">
        <v>759</v>
      </c>
      <c r="L492" s="14">
        <v>245</v>
      </c>
      <c r="M492" s="15">
        <v>21.99</v>
      </c>
      <c r="N492" s="17">
        <v>177121.62</v>
      </c>
      <c r="O492" s="17">
        <v>15105.386793666899</v>
      </c>
      <c r="P492" s="17">
        <v>7843.443813883745</v>
      </c>
      <c r="Q492" s="17">
        <v>154172.78939244931</v>
      </c>
      <c r="R492" s="17">
        <v>109496.79</v>
      </c>
      <c r="S492" s="17">
        <v>44675.999392449346</v>
      </c>
      <c r="T492" s="17">
        <v>5387.5499999999993</v>
      </c>
    </row>
    <row r="493" spans="1:20" x14ac:dyDescent="0.3">
      <c r="A493" s="13">
        <v>45412</v>
      </c>
      <c r="B493" s="7" t="s">
        <v>117</v>
      </c>
      <c r="C493" s="7" t="s">
        <v>29</v>
      </c>
      <c r="D493" s="7" t="s">
        <v>103</v>
      </c>
      <c r="E493" s="7" t="s">
        <v>30</v>
      </c>
      <c r="F493" s="14">
        <v>637</v>
      </c>
      <c r="G493" s="15">
        <v>182.25</v>
      </c>
      <c r="H493" s="16">
        <v>4.3225779417699277E-2</v>
      </c>
      <c r="I493" s="16">
        <v>2.2140931239052881E-2</v>
      </c>
      <c r="J493" s="15">
        <v>119.68</v>
      </c>
      <c r="K493" s="14">
        <v>48</v>
      </c>
      <c r="L493" s="14">
        <v>3</v>
      </c>
      <c r="M493" s="15">
        <v>3.85</v>
      </c>
      <c r="N493" s="17">
        <v>116093.25</v>
      </c>
      <c r="O493" s="17">
        <v>5018.2212163838167</v>
      </c>
      <c r="P493" s="17">
        <v>2459.3045746738658</v>
      </c>
      <c r="Q493" s="17">
        <v>108615.72420894229</v>
      </c>
      <c r="R493" s="17">
        <v>76236.160000000003</v>
      </c>
      <c r="S493" s="17">
        <v>32379.56420894232</v>
      </c>
      <c r="T493" s="17">
        <v>11.55</v>
      </c>
    </row>
    <row r="494" spans="1:20" x14ac:dyDescent="0.3">
      <c r="A494" s="13">
        <v>45412</v>
      </c>
      <c r="B494" s="7" t="s">
        <v>117</v>
      </c>
      <c r="C494" s="7" t="s">
        <v>29</v>
      </c>
      <c r="D494" s="7" t="s">
        <v>104</v>
      </c>
      <c r="E494" s="7" t="s">
        <v>25</v>
      </c>
      <c r="F494" s="14">
        <v>1713</v>
      </c>
      <c r="G494" s="15">
        <v>45.08</v>
      </c>
      <c r="H494" s="16">
        <v>5.4774165277014432E-2</v>
      </c>
      <c r="I494" s="16">
        <v>3.388614752611372E-2</v>
      </c>
      <c r="J494" s="15">
        <v>22.07</v>
      </c>
      <c r="K494" s="14">
        <v>1142</v>
      </c>
      <c r="L494" s="14">
        <v>491</v>
      </c>
      <c r="M494" s="15">
        <v>30.62</v>
      </c>
      <c r="N494" s="17">
        <v>77222.039999999994</v>
      </c>
      <c r="O494" s="17">
        <v>4229.7727819882193</v>
      </c>
      <c r="P494" s="17">
        <v>2473.4267352150609</v>
      </c>
      <c r="Q494" s="17">
        <v>70518.840482796717</v>
      </c>
      <c r="R494" s="17">
        <v>37805.910000000003</v>
      </c>
      <c r="S494" s="17">
        <v>32712.93048279671</v>
      </c>
      <c r="T494" s="17">
        <v>15034.42</v>
      </c>
    </row>
    <row r="495" spans="1:20" x14ac:dyDescent="0.3">
      <c r="A495" s="13">
        <v>45412</v>
      </c>
      <c r="B495" s="7" t="s">
        <v>117</v>
      </c>
      <c r="C495" s="7" t="s">
        <v>29</v>
      </c>
      <c r="D495" s="7" t="s">
        <v>104</v>
      </c>
      <c r="E495" s="7" t="s">
        <v>28</v>
      </c>
      <c r="F495" s="14">
        <v>868</v>
      </c>
      <c r="G495" s="15">
        <v>43.76</v>
      </c>
      <c r="H495" s="16">
        <v>9.066566247552299E-2</v>
      </c>
      <c r="I495" s="16">
        <v>7.1532595139533445E-2</v>
      </c>
      <c r="J495" s="15">
        <v>21.72</v>
      </c>
      <c r="K495" s="14">
        <v>729</v>
      </c>
      <c r="L495" s="14">
        <v>209</v>
      </c>
      <c r="M495" s="15">
        <v>19.18</v>
      </c>
      <c r="N495" s="17">
        <v>37983.68</v>
      </c>
      <c r="O495" s="17">
        <v>3443.8155104582729</v>
      </c>
      <c r="P495" s="17">
        <v>2470.726142704736</v>
      </c>
      <c r="Q495" s="17">
        <v>32069.13834683699</v>
      </c>
      <c r="R495" s="17">
        <v>18852.96</v>
      </c>
      <c r="S495" s="17">
        <v>13216.17834683699</v>
      </c>
      <c r="T495" s="17">
        <v>4008.62</v>
      </c>
    </row>
    <row r="496" spans="1:20" x14ac:dyDescent="0.3">
      <c r="A496" s="13">
        <v>45412</v>
      </c>
      <c r="B496" s="7" t="s">
        <v>117</v>
      </c>
      <c r="C496" s="7" t="s">
        <v>29</v>
      </c>
      <c r="D496" s="7" t="s">
        <v>104</v>
      </c>
      <c r="E496" s="7" t="s">
        <v>30</v>
      </c>
      <c r="F496" s="14">
        <v>600</v>
      </c>
      <c r="G496" s="15">
        <v>37.619999999999997</v>
      </c>
      <c r="H496" s="16">
        <v>3.7616828103124077E-2</v>
      </c>
      <c r="I496" s="16">
        <v>1.448865129772072E-2</v>
      </c>
      <c r="J496" s="15">
        <v>22.36</v>
      </c>
      <c r="K496" s="14">
        <v>46</v>
      </c>
      <c r="L496" s="14">
        <v>3</v>
      </c>
      <c r="M496" s="15">
        <v>5.08</v>
      </c>
      <c r="N496" s="17">
        <v>22572</v>
      </c>
      <c r="O496" s="17">
        <v>849.08704394371671</v>
      </c>
      <c r="P496" s="17">
        <v>314.73571099103918</v>
      </c>
      <c r="Q496" s="17">
        <v>21408.177245065239</v>
      </c>
      <c r="R496" s="17">
        <v>13416</v>
      </c>
      <c r="S496" s="17">
        <v>7992.1772450652416</v>
      </c>
      <c r="T496" s="17">
        <v>15.24</v>
      </c>
    </row>
    <row r="497" spans="1:20" x14ac:dyDescent="0.3">
      <c r="A497" s="13">
        <v>45412</v>
      </c>
      <c r="B497" s="7" t="s">
        <v>117</v>
      </c>
      <c r="C497" s="7" t="s">
        <v>31</v>
      </c>
      <c r="D497" s="7" t="s">
        <v>102</v>
      </c>
      <c r="E497" s="7" t="s">
        <v>25</v>
      </c>
      <c r="F497" s="14">
        <v>2081</v>
      </c>
      <c r="G497" s="15">
        <v>113.77</v>
      </c>
      <c r="H497" s="16">
        <v>6.5112928846157811E-2</v>
      </c>
      <c r="I497" s="16">
        <v>2.9503445010900589E-2</v>
      </c>
      <c r="J497" s="15">
        <v>71.040000000000006</v>
      </c>
      <c r="K497" s="14">
        <v>1446</v>
      </c>
      <c r="L497" s="14">
        <v>566</v>
      </c>
      <c r="M497" s="15">
        <v>41.45</v>
      </c>
      <c r="N497" s="17">
        <v>236755.37</v>
      </c>
      <c r="O497" s="17">
        <v>15415.83556075577</v>
      </c>
      <c r="P497" s="17">
        <v>6530.2787830665784</v>
      </c>
      <c r="Q497" s="17">
        <v>214809.25565617759</v>
      </c>
      <c r="R497" s="17">
        <v>147834.23999999999</v>
      </c>
      <c r="S497" s="17">
        <v>66975.015656177624</v>
      </c>
      <c r="T497" s="17">
        <v>23460.7</v>
      </c>
    </row>
    <row r="498" spans="1:20" x14ac:dyDescent="0.3">
      <c r="A498" s="13">
        <v>45412</v>
      </c>
      <c r="B498" s="7" t="s">
        <v>117</v>
      </c>
      <c r="C498" s="7" t="s">
        <v>31</v>
      </c>
      <c r="D498" s="7" t="s">
        <v>102</v>
      </c>
      <c r="E498" s="7" t="s">
        <v>28</v>
      </c>
      <c r="F498" s="14">
        <v>1564</v>
      </c>
      <c r="G498" s="15">
        <v>97.83</v>
      </c>
      <c r="H498" s="16">
        <v>9.7467513611119327E-2</v>
      </c>
      <c r="I498" s="16">
        <v>5.1776995527498412E-2</v>
      </c>
      <c r="J498" s="15">
        <v>72.19</v>
      </c>
      <c r="K498" s="14">
        <v>1245</v>
      </c>
      <c r="L498" s="14">
        <v>379</v>
      </c>
      <c r="M498" s="15">
        <v>15.49</v>
      </c>
      <c r="N498" s="17">
        <v>153006.12</v>
      </c>
      <c r="O498" s="17">
        <v>14913.126083684559</v>
      </c>
      <c r="P498" s="17">
        <v>7150.0403283839287</v>
      </c>
      <c r="Q498" s="17">
        <v>130942.95358793149</v>
      </c>
      <c r="R498" s="17">
        <v>112905.16</v>
      </c>
      <c r="S498" s="17">
        <v>18037.793587931501</v>
      </c>
      <c r="T498" s="17">
        <v>5870.71</v>
      </c>
    </row>
    <row r="499" spans="1:20" x14ac:dyDescent="0.3">
      <c r="A499" s="13">
        <v>45412</v>
      </c>
      <c r="B499" s="7" t="s">
        <v>117</v>
      </c>
      <c r="C499" s="7" t="s">
        <v>31</v>
      </c>
      <c r="D499" s="7" t="s">
        <v>102</v>
      </c>
      <c r="E499" s="7" t="s">
        <v>30</v>
      </c>
      <c r="F499" s="14">
        <v>524</v>
      </c>
      <c r="G499" s="15">
        <v>91.72</v>
      </c>
      <c r="H499" s="16">
        <v>2.7609501722462081E-2</v>
      </c>
      <c r="I499" s="16">
        <v>2.0142287905915799E-2</v>
      </c>
      <c r="J499" s="15">
        <v>64</v>
      </c>
      <c r="K499" s="14">
        <v>43</v>
      </c>
      <c r="L499" s="14">
        <v>2</v>
      </c>
      <c r="M499" s="15">
        <v>4.71</v>
      </c>
      <c r="N499" s="17">
        <v>48061.279999999999</v>
      </c>
      <c r="O499" s="17">
        <v>1326.9479929437321</v>
      </c>
      <c r="P499" s="17">
        <v>941.33637037678295</v>
      </c>
      <c r="Q499" s="17">
        <v>45792.995636679487</v>
      </c>
      <c r="R499" s="17">
        <v>33536</v>
      </c>
      <c r="S499" s="17">
        <v>12256.99563667949</v>
      </c>
      <c r="T499" s="17">
        <v>9.42</v>
      </c>
    </row>
    <row r="500" spans="1:20" x14ac:dyDescent="0.3">
      <c r="A500" s="13">
        <v>45412</v>
      </c>
      <c r="B500" s="7" t="s">
        <v>117</v>
      </c>
      <c r="C500" s="7" t="s">
        <v>31</v>
      </c>
      <c r="D500" s="7" t="s">
        <v>103</v>
      </c>
      <c r="E500" s="7" t="s">
        <v>25</v>
      </c>
      <c r="F500" s="14">
        <v>1192</v>
      </c>
      <c r="G500" s="15">
        <v>201.13</v>
      </c>
      <c r="H500" s="16">
        <v>6.0162151848400021E-2</v>
      </c>
      <c r="I500" s="16">
        <v>4.4726303458434057E-2</v>
      </c>
      <c r="J500" s="15">
        <v>112.2</v>
      </c>
      <c r="K500" s="14">
        <v>834</v>
      </c>
      <c r="L500" s="14">
        <v>301</v>
      </c>
      <c r="M500" s="15">
        <v>35.409999999999997</v>
      </c>
      <c r="N500" s="17">
        <v>239746.96</v>
      </c>
      <c r="O500" s="17">
        <v>14423.693012712291</v>
      </c>
      <c r="P500" s="17">
        <v>10077.87681551919</v>
      </c>
      <c r="Q500" s="17">
        <v>215245.39017176849</v>
      </c>
      <c r="R500" s="17">
        <v>133742.39999999999</v>
      </c>
      <c r="S500" s="17">
        <v>81502.990171768528</v>
      </c>
      <c r="T500" s="17">
        <v>10658.41</v>
      </c>
    </row>
    <row r="501" spans="1:20" x14ac:dyDescent="0.3">
      <c r="A501" s="13">
        <v>45412</v>
      </c>
      <c r="B501" s="7" t="s">
        <v>117</v>
      </c>
      <c r="C501" s="7" t="s">
        <v>31</v>
      </c>
      <c r="D501" s="7" t="s">
        <v>103</v>
      </c>
      <c r="E501" s="7" t="s">
        <v>28</v>
      </c>
      <c r="F501" s="14">
        <v>248</v>
      </c>
      <c r="G501" s="15">
        <v>192.21</v>
      </c>
      <c r="H501" s="16">
        <v>9.0305516511137732E-2</v>
      </c>
      <c r="I501" s="16">
        <v>3.89165541921557E-2</v>
      </c>
      <c r="J501" s="15">
        <v>113.54</v>
      </c>
      <c r="K501" s="14">
        <v>201</v>
      </c>
      <c r="L501" s="14">
        <v>59</v>
      </c>
      <c r="M501" s="15">
        <v>18.64</v>
      </c>
      <c r="N501" s="17">
        <v>47668.08</v>
      </c>
      <c r="O501" s="17">
        <v>4304.6905854942343</v>
      </c>
      <c r="P501" s="17">
        <v>1687.5536941051651</v>
      </c>
      <c r="Q501" s="17">
        <v>41675.83572040061</v>
      </c>
      <c r="R501" s="17">
        <v>28157.919999999998</v>
      </c>
      <c r="S501" s="17">
        <v>13517.91572040061</v>
      </c>
      <c r="T501" s="17">
        <v>1099.76</v>
      </c>
    </row>
    <row r="502" spans="1:20" x14ac:dyDescent="0.3">
      <c r="A502" s="13">
        <v>45412</v>
      </c>
      <c r="B502" s="7" t="s">
        <v>117</v>
      </c>
      <c r="C502" s="7" t="s">
        <v>31</v>
      </c>
      <c r="D502" s="7" t="s">
        <v>103</v>
      </c>
      <c r="E502" s="7" t="s">
        <v>30</v>
      </c>
      <c r="F502" s="14">
        <v>318</v>
      </c>
      <c r="G502" s="15">
        <v>167.93</v>
      </c>
      <c r="H502" s="16">
        <v>3.6893844562784717E-2</v>
      </c>
      <c r="I502" s="16">
        <v>1.9559543779854631E-2</v>
      </c>
      <c r="J502" s="15">
        <v>124.62</v>
      </c>
      <c r="K502" s="14">
        <v>26</v>
      </c>
      <c r="L502" s="14">
        <v>2</v>
      </c>
      <c r="M502" s="15">
        <v>3.72</v>
      </c>
      <c r="N502" s="17">
        <v>53401.740000000013</v>
      </c>
      <c r="O502" s="17">
        <v>1970.1954949422429</v>
      </c>
      <c r="P502" s="17">
        <v>1005.977546412219</v>
      </c>
      <c r="Q502" s="17">
        <v>50425.566958645541</v>
      </c>
      <c r="R502" s="17">
        <v>39629.160000000003</v>
      </c>
      <c r="S502" s="17">
        <v>10796.406958645541</v>
      </c>
      <c r="T502" s="17">
        <v>7.44</v>
      </c>
    </row>
    <row r="503" spans="1:20" x14ac:dyDescent="0.3">
      <c r="A503" s="13">
        <v>45412</v>
      </c>
      <c r="B503" s="7" t="s">
        <v>117</v>
      </c>
      <c r="C503" s="7" t="s">
        <v>31</v>
      </c>
      <c r="D503" s="7" t="s">
        <v>104</v>
      </c>
      <c r="E503" s="7" t="s">
        <v>25</v>
      </c>
      <c r="F503" s="14">
        <v>508</v>
      </c>
      <c r="G503" s="15">
        <v>40.840000000000003</v>
      </c>
      <c r="H503" s="16">
        <v>5.2969592596819971E-2</v>
      </c>
      <c r="I503" s="16">
        <v>3.7401998592324882E-2</v>
      </c>
      <c r="J503" s="15">
        <v>22.48</v>
      </c>
      <c r="K503" s="14">
        <v>361</v>
      </c>
      <c r="L503" s="14">
        <v>132</v>
      </c>
      <c r="M503" s="15">
        <v>36.619999999999997</v>
      </c>
      <c r="N503" s="17">
        <v>20746.72</v>
      </c>
      <c r="O503" s="17">
        <v>1098.9453061202969</v>
      </c>
      <c r="P503" s="17">
        <v>734.866041442805</v>
      </c>
      <c r="Q503" s="17">
        <v>18912.908652436901</v>
      </c>
      <c r="R503" s="17">
        <v>11419.84</v>
      </c>
      <c r="S503" s="17">
        <v>7493.0686524368984</v>
      </c>
      <c r="T503" s="17">
        <v>4833.8399999999992</v>
      </c>
    </row>
    <row r="504" spans="1:20" x14ac:dyDescent="0.3">
      <c r="A504" s="13">
        <v>45412</v>
      </c>
      <c r="B504" s="7" t="s">
        <v>117</v>
      </c>
      <c r="C504" s="7" t="s">
        <v>31</v>
      </c>
      <c r="D504" s="7" t="s">
        <v>104</v>
      </c>
      <c r="E504" s="7" t="s">
        <v>28</v>
      </c>
      <c r="F504" s="14">
        <v>377</v>
      </c>
      <c r="G504" s="15">
        <v>35.96</v>
      </c>
      <c r="H504" s="16">
        <v>7.9073358915382821E-2</v>
      </c>
      <c r="I504" s="16">
        <v>7.4350547795784871E-2</v>
      </c>
      <c r="J504" s="15">
        <v>21.78</v>
      </c>
      <c r="K504" s="14">
        <v>296</v>
      </c>
      <c r="L504" s="14">
        <v>83</v>
      </c>
      <c r="M504" s="15">
        <v>17.28</v>
      </c>
      <c r="N504" s="17">
        <v>13556.92</v>
      </c>
      <c r="O504" s="17">
        <v>1071.991200947132</v>
      </c>
      <c r="P504" s="17">
        <v>928.26129540095133</v>
      </c>
      <c r="Q504" s="17">
        <v>11556.667503651919</v>
      </c>
      <c r="R504" s="17">
        <v>8211.0600000000013</v>
      </c>
      <c r="S504" s="17">
        <v>3345.607503651916</v>
      </c>
      <c r="T504" s="17">
        <v>1434.24</v>
      </c>
    </row>
    <row r="505" spans="1:20" x14ac:dyDescent="0.3">
      <c r="A505" s="13">
        <v>45412</v>
      </c>
      <c r="B505" s="7" t="s">
        <v>117</v>
      </c>
      <c r="C505" s="7" t="s">
        <v>31</v>
      </c>
      <c r="D505" s="7" t="s">
        <v>104</v>
      </c>
      <c r="E505" s="7" t="s">
        <v>30</v>
      </c>
      <c r="F505" s="14">
        <v>257</v>
      </c>
      <c r="G505" s="15">
        <v>34.409999999999997</v>
      </c>
      <c r="H505" s="16">
        <v>3.030467927553716E-2</v>
      </c>
      <c r="I505" s="16">
        <v>2.1498238439186738E-2</v>
      </c>
      <c r="J505" s="15">
        <v>22.05</v>
      </c>
      <c r="K505" s="14">
        <v>21</v>
      </c>
      <c r="L505" s="14">
        <v>1</v>
      </c>
      <c r="M505" s="15">
        <v>4.63</v>
      </c>
      <c r="N505" s="17">
        <v>8843.369999999999</v>
      </c>
      <c r="O505" s="17">
        <v>267.99549156490713</v>
      </c>
      <c r="P505" s="17">
        <v>184.3554458876614</v>
      </c>
      <c r="Q505" s="17">
        <v>8391.0190625474315</v>
      </c>
      <c r="R505" s="17">
        <v>5666.85</v>
      </c>
      <c r="S505" s="17">
        <v>2724.1690625474312</v>
      </c>
      <c r="T505" s="17">
        <v>4.63</v>
      </c>
    </row>
    <row r="506" spans="1:20" x14ac:dyDescent="0.3">
      <c r="A506" s="13">
        <v>45443</v>
      </c>
      <c r="B506" s="7" t="s">
        <v>118</v>
      </c>
      <c r="C506" s="7" t="s">
        <v>24</v>
      </c>
      <c r="D506" s="7" t="s">
        <v>102</v>
      </c>
      <c r="E506" s="7" t="s">
        <v>25</v>
      </c>
      <c r="F506" s="14">
        <v>12981</v>
      </c>
      <c r="G506" s="15">
        <v>122.83</v>
      </c>
      <c r="H506" s="16">
        <v>6.1631260463418457E-2</v>
      </c>
      <c r="I506" s="16">
        <v>4.4602716249823038E-2</v>
      </c>
      <c r="J506" s="15">
        <v>72.41</v>
      </c>
      <c r="K506" s="14">
        <v>8915</v>
      </c>
      <c r="L506" s="14">
        <v>3468</v>
      </c>
      <c r="M506" s="15">
        <v>26.13</v>
      </c>
      <c r="N506" s="17">
        <v>1594456.23</v>
      </c>
      <c r="O506" s="17">
        <v>98268.347208650244</v>
      </c>
      <c r="P506" s="17">
        <v>66734.043592566057</v>
      </c>
      <c r="Q506" s="17">
        <v>1429453.839198784</v>
      </c>
      <c r="R506" s="17">
        <v>939954.21</v>
      </c>
      <c r="S506" s="17">
        <v>489499.62919878348</v>
      </c>
      <c r="T506" s="17">
        <v>90618.84</v>
      </c>
    </row>
    <row r="507" spans="1:20" x14ac:dyDescent="0.3">
      <c r="A507" s="13">
        <v>45443</v>
      </c>
      <c r="B507" s="7" t="s">
        <v>118</v>
      </c>
      <c r="C507" s="7" t="s">
        <v>24</v>
      </c>
      <c r="D507" s="7" t="s">
        <v>102</v>
      </c>
      <c r="E507" s="7" t="s">
        <v>28</v>
      </c>
      <c r="F507" s="14">
        <v>3690</v>
      </c>
      <c r="G507" s="15">
        <v>120.46</v>
      </c>
      <c r="H507" s="16">
        <v>8.6800338404829522E-2</v>
      </c>
      <c r="I507" s="16">
        <v>7.124850359135565E-2</v>
      </c>
      <c r="J507" s="15">
        <v>72.59</v>
      </c>
      <c r="K507" s="14">
        <v>3255</v>
      </c>
      <c r="L507" s="14">
        <v>1003</v>
      </c>
      <c r="M507" s="15">
        <v>14.92</v>
      </c>
      <c r="N507" s="17">
        <v>444497.4</v>
      </c>
      <c r="O507" s="17">
        <v>38582.524740066867</v>
      </c>
      <c r="P507" s="17">
        <v>28920.827447742031</v>
      </c>
      <c r="Q507" s="17">
        <v>376994.04781219107</v>
      </c>
      <c r="R507" s="17">
        <v>267857.09999999998</v>
      </c>
      <c r="S507" s="17">
        <v>109136.94781219101</v>
      </c>
      <c r="T507" s="17">
        <v>14964.76</v>
      </c>
    </row>
    <row r="508" spans="1:20" x14ac:dyDescent="0.3">
      <c r="A508" s="13">
        <v>45443</v>
      </c>
      <c r="B508" s="7" t="s">
        <v>118</v>
      </c>
      <c r="C508" s="7" t="s">
        <v>24</v>
      </c>
      <c r="D508" s="7" t="s">
        <v>102</v>
      </c>
      <c r="E508" s="7" t="s">
        <v>30</v>
      </c>
      <c r="F508" s="14">
        <v>3012</v>
      </c>
      <c r="G508" s="15">
        <v>103.1</v>
      </c>
      <c r="H508" s="16">
        <v>4.1783465640280737E-2</v>
      </c>
      <c r="I508" s="16">
        <v>1.405383767461435E-2</v>
      </c>
      <c r="J508" s="15">
        <v>74.260000000000005</v>
      </c>
      <c r="K508" s="14">
        <v>241</v>
      </c>
      <c r="L508" s="14">
        <v>14</v>
      </c>
      <c r="M508" s="15">
        <v>5.51</v>
      </c>
      <c r="N508" s="17">
        <v>310537.2</v>
      </c>
      <c r="O508" s="17">
        <v>12975.320426228989</v>
      </c>
      <c r="P508" s="17">
        <v>4181.8863536829222</v>
      </c>
      <c r="Q508" s="17">
        <v>293379.99322008807</v>
      </c>
      <c r="R508" s="17">
        <v>223671.12</v>
      </c>
      <c r="S508" s="17">
        <v>69708.873220088106</v>
      </c>
      <c r="T508" s="17">
        <v>77.14</v>
      </c>
    </row>
    <row r="509" spans="1:20" x14ac:dyDescent="0.3">
      <c r="A509" s="13">
        <v>45443</v>
      </c>
      <c r="B509" s="7" t="s">
        <v>118</v>
      </c>
      <c r="C509" s="7" t="s">
        <v>24</v>
      </c>
      <c r="D509" s="7" t="s">
        <v>103</v>
      </c>
      <c r="E509" s="7" t="s">
        <v>25</v>
      </c>
      <c r="F509" s="14">
        <v>3132</v>
      </c>
      <c r="G509" s="15">
        <v>226.86</v>
      </c>
      <c r="H509" s="16">
        <v>6.1018264113477202E-2</v>
      </c>
      <c r="I509" s="16">
        <v>3.6368833388444342E-2</v>
      </c>
      <c r="J509" s="15">
        <v>115.97</v>
      </c>
      <c r="K509" s="14">
        <v>2027</v>
      </c>
      <c r="L509" s="14">
        <v>764</v>
      </c>
      <c r="M509" s="15">
        <v>29.76</v>
      </c>
      <c r="N509" s="17">
        <v>710525.52</v>
      </c>
      <c r="O509" s="17">
        <v>43355.033838725729</v>
      </c>
      <c r="P509" s="17">
        <v>24264.212252886791</v>
      </c>
      <c r="Q509" s="17">
        <v>642906.2739083874</v>
      </c>
      <c r="R509" s="17">
        <v>363218.04</v>
      </c>
      <c r="S509" s="17">
        <v>279688.23390838742</v>
      </c>
      <c r="T509" s="17">
        <v>22736.639999999999</v>
      </c>
    </row>
    <row r="510" spans="1:20" x14ac:dyDescent="0.3">
      <c r="A510" s="13">
        <v>45443</v>
      </c>
      <c r="B510" s="7" t="s">
        <v>118</v>
      </c>
      <c r="C510" s="7" t="s">
        <v>24</v>
      </c>
      <c r="D510" s="7" t="s">
        <v>103</v>
      </c>
      <c r="E510" s="7" t="s">
        <v>28</v>
      </c>
      <c r="F510" s="14">
        <v>1529</v>
      </c>
      <c r="G510" s="15">
        <v>224.71</v>
      </c>
      <c r="H510" s="16">
        <v>6.4192852566201275E-2</v>
      </c>
      <c r="I510" s="16">
        <v>7.9667512467039361E-2</v>
      </c>
      <c r="J510" s="15">
        <v>122.57</v>
      </c>
      <c r="K510" s="14">
        <v>1306</v>
      </c>
      <c r="L510" s="14">
        <v>375</v>
      </c>
      <c r="M510" s="15">
        <v>20.79</v>
      </c>
      <c r="N510" s="17">
        <v>343581.59</v>
      </c>
      <c r="O510" s="17">
        <v>22055.482351331011</v>
      </c>
      <c r="P510" s="17">
        <v>25615.18518957898</v>
      </c>
      <c r="Q510" s="17">
        <v>295910.92245909001</v>
      </c>
      <c r="R510" s="17">
        <v>187409.53</v>
      </c>
      <c r="S510" s="17">
        <v>108501.39245909</v>
      </c>
      <c r="T510" s="17">
        <v>7796.25</v>
      </c>
    </row>
    <row r="511" spans="1:20" x14ac:dyDescent="0.3">
      <c r="A511" s="13">
        <v>45443</v>
      </c>
      <c r="B511" s="7" t="s">
        <v>118</v>
      </c>
      <c r="C511" s="7" t="s">
        <v>24</v>
      </c>
      <c r="D511" s="7" t="s">
        <v>103</v>
      </c>
      <c r="E511" s="7" t="s">
        <v>30</v>
      </c>
      <c r="F511" s="14">
        <v>1311</v>
      </c>
      <c r="G511" s="15">
        <v>182.96</v>
      </c>
      <c r="H511" s="16">
        <v>4.8523025723626378E-2</v>
      </c>
      <c r="I511" s="16">
        <v>1.943259677058929E-2</v>
      </c>
      <c r="J511" s="15">
        <v>124.22</v>
      </c>
      <c r="K511" s="14">
        <v>114</v>
      </c>
      <c r="L511" s="14">
        <v>7</v>
      </c>
      <c r="M511" s="15">
        <v>6.11</v>
      </c>
      <c r="N511" s="17">
        <v>239860.56</v>
      </c>
      <c r="O511" s="17">
        <v>11638.760122963429</v>
      </c>
      <c r="P511" s="17">
        <v>4434.942211268577</v>
      </c>
      <c r="Q511" s="17">
        <v>223786.85766576801</v>
      </c>
      <c r="R511" s="17">
        <v>162852.42000000001</v>
      </c>
      <c r="S511" s="17">
        <v>60934.437665767968</v>
      </c>
      <c r="T511" s="17">
        <v>42.77</v>
      </c>
    </row>
    <row r="512" spans="1:20" x14ac:dyDescent="0.3">
      <c r="A512" s="13">
        <v>45443</v>
      </c>
      <c r="B512" s="7" t="s">
        <v>118</v>
      </c>
      <c r="C512" s="7" t="s">
        <v>24</v>
      </c>
      <c r="D512" s="7" t="s">
        <v>104</v>
      </c>
      <c r="E512" s="7" t="s">
        <v>25</v>
      </c>
      <c r="F512" s="14">
        <v>2362</v>
      </c>
      <c r="G512" s="15">
        <v>46.77</v>
      </c>
      <c r="H512" s="16">
        <v>6.0650510688458593E-2</v>
      </c>
      <c r="I512" s="16">
        <v>2.4997781385530639E-2</v>
      </c>
      <c r="J512" s="15">
        <v>22.1</v>
      </c>
      <c r="K512" s="14">
        <v>1668</v>
      </c>
      <c r="L512" s="14">
        <v>611</v>
      </c>
      <c r="M512" s="15">
        <v>39.78</v>
      </c>
      <c r="N512" s="17">
        <v>110470.74</v>
      </c>
      <c r="O512" s="17">
        <v>6700.1067971319308</v>
      </c>
      <c r="P512" s="17">
        <v>2594.0356030433841</v>
      </c>
      <c r="Q512" s="17">
        <v>101176.5975998247</v>
      </c>
      <c r="R512" s="17">
        <v>52200.2</v>
      </c>
      <c r="S512" s="17">
        <v>48976.397599824682</v>
      </c>
      <c r="T512" s="17">
        <v>24305.58</v>
      </c>
    </row>
    <row r="513" spans="1:20" x14ac:dyDescent="0.3">
      <c r="A513" s="13">
        <v>45443</v>
      </c>
      <c r="B513" s="7" t="s">
        <v>118</v>
      </c>
      <c r="C513" s="7" t="s">
        <v>24</v>
      </c>
      <c r="D513" s="7" t="s">
        <v>104</v>
      </c>
      <c r="E513" s="7" t="s">
        <v>28</v>
      </c>
      <c r="F513" s="14">
        <v>1516</v>
      </c>
      <c r="G513" s="15">
        <v>43.79</v>
      </c>
      <c r="H513" s="16">
        <v>0.1083138757086778</v>
      </c>
      <c r="I513" s="16">
        <v>5.699471133308754E-2</v>
      </c>
      <c r="J513" s="15">
        <v>22.78</v>
      </c>
      <c r="K513" s="14">
        <v>1260</v>
      </c>
      <c r="L513" s="14">
        <v>384</v>
      </c>
      <c r="M513" s="15">
        <v>21.71</v>
      </c>
      <c r="N513" s="17">
        <v>66385.64</v>
      </c>
      <c r="O513" s="17">
        <v>7190.4859598010262</v>
      </c>
      <c r="P513" s="17">
        <v>3373.810716838791</v>
      </c>
      <c r="Q513" s="17">
        <v>55821.343323360183</v>
      </c>
      <c r="R513" s="17">
        <v>34534.480000000003</v>
      </c>
      <c r="S513" s="17">
        <v>21286.863323360179</v>
      </c>
      <c r="T513" s="17">
        <v>8336.64</v>
      </c>
    </row>
    <row r="514" spans="1:20" x14ac:dyDescent="0.3">
      <c r="A514" s="13">
        <v>45443</v>
      </c>
      <c r="B514" s="7" t="s">
        <v>118</v>
      </c>
      <c r="C514" s="7" t="s">
        <v>24</v>
      </c>
      <c r="D514" s="7" t="s">
        <v>104</v>
      </c>
      <c r="E514" s="7" t="s">
        <v>30</v>
      </c>
      <c r="F514" s="14">
        <v>899</v>
      </c>
      <c r="G514" s="15">
        <v>40.049999999999997</v>
      </c>
      <c r="H514" s="16">
        <v>3.7763946496288163E-2</v>
      </c>
      <c r="I514" s="16">
        <v>1.8786506260873592E-2</v>
      </c>
      <c r="J514" s="15">
        <v>21.34</v>
      </c>
      <c r="K514" s="14">
        <v>80</v>
      </c>
      <c r="L514" s="14">
        <v>4</v>
      </c>
      <c r="M514" s="15">
        <v>4.59</v>
      </c>
      <c r="N514" s="17">
        <v>36004.949999999997</v>
      </c>
      <c r="O514" s="17">
        <v>1359.68900540153</v>
      </c>
      <c r="P514" s="17">
        <v>650.86341258462369</v>
      </c>
      <c r="Q514" s="17">
        <v>33994.397582013837</v>
      </c>
      <c r="R514" s="17">
        <v>19184.66</v>
      </c>
      <c r="S514" s="17">
        <v>14809.73758201384</v>
      </c>
      <c r="T514" s="17">
        <v>18.36</v>
      </c>
    </row>
    <row r="515" spans="1:20" x14ac:dyDescent="0.3">
      <c r="A515" s="13">
        <v>45443</v>
      </c>
      <c r="B515" s="7" t="s">
        <v>118</v>
      </c>
      <c r="C515" s="7" t="s">
        <v>27</v>
      </c>
      <c r="D515" s="7" t="s">
        <v>102</v>
      </c>
      <c r="E515" s="7" t="s">
        <v>25</v>
      </c>
      <c r="F515" s="14">
        <v>4540</v>
      </c>
      <c r="G515" s="15">
        <v>138.38999999999999</v>
      </c>
      <c r="H515" s="16">
        <v>6.1868430162605632E-2</v>
      </c>
      <c r="I515" s="16">
        <v>4.3076766534011143E-2</v>
      </c>
      <c r="J515" s="15">
        <v>72.400000000000006</v>
      </c>
      <c r="K515" s="14">
        <v>3055</v>
      </c>
      <c r="L515" s="14">
        <v>1151</v>
      </c>
      <c r="M515" s="15">
        <v>26.93</v>
      </c>
      <c r="N515" s="17">
        <v>628290.6</v>
      </c>
      <c r="O515" s="17">
        <v>38871.35310792159</v>
      </c>
      <c r="P515" s="17">
        <v>25390.275289022731</v>
      </c>
      <c r="Q515" s="17">
        <v>564028.97160305572</v>
      </c>
      <c r="R515" s="17">
        <v>328696</v>
      </c>
      <c r="S515" s="17">
        <v>235332.97160305569</v>
      </c>
      <c r="T515" s="17">
        <v>30996.43</v>
      </c>
    </row>
    <row r="516" spans="1:20" x14ac:dyDescent="0.3">
      <c r="A516" s="13">
        <v>45443</v>
      </c>
      <c r="B516" s="7" t="s">
        <v>118</v>
      </c>
      <c r="C516" s="7" t="s">
        <v>27</v>
      </c>
      <c r="D516" s="7" t="s">
        <v>102</v>
      </c>
      <c r="E516" s="7" t="s">
        <v>28</v>
      </c>
      <c r="F516" s="14">
        <v>3440</v>
      </c>
      <c r="G516" s="15">
        <v>126.27</v>
      </c>
      <c r="H516" s="16">
        <v>9.0030887137937304E-2</v>
      </c>
      <c r="I516" s="16">
        <v>7.6055477403448937E-2</v>
      </c>
      <c r="J516" s="15">
        <v>77.72</v>
      </c>
      <c r="K516" s="14">
        <v>2782</v>
      </c>
      <c r="L516" s="14">
        <v>918</v>
      </c>
      <c r="M516" s="15">
        <v>17.64</v>
      </c>
      <c r="N516" s="17">
        <v>434368.8</v>
      </c>
      <c r="O516" s="17">
        <v>39106.608409041262</v>
      </c>
      <c r="P516" s="17">
        <v>30061.85468098387</v>
      </c>
      <c r="Q516" s="17">
        <v>365200.33690997493</v>
      </c>
      <c r="R516" s="17">
        <v>267356.79999999999</v>
      </c>
      <c r="S516" s="17">
        <v>97843.536909974879</v>
      </c>
      <c r="T516" s="17">
        <v>16193.52</v>
      </c>
    </row>
    <row r="517" spans="1:20" x14ac:dyDescent="0.3">
      <c r="A517" s="13">
        <v>45443</v>
      </c>
      <c r="B517" s="7" t="s">
        <v>118</v>
      </c>
      <c r="C517" s="7" t="s">
        <v>27</v>
      </c>
      <c r="D517" s="7" t="s">
        <v>102</v>
      </c>
      <c r="E517" s="7" t="s">
        <v>30</v>
      </c>
      <c r="F517" s="14">
        <v>1856</v>
      </c>
      <c r="G517" s="15">
        <v>113.29</v>
      </c>
      <c r="H517" s="16">
        <v>4.0025379153964917E-2</v>
      </c>
      <c r="I517" s="16">
        <v>2.3094431490115769E-2</v>
      </c>
      <c r="J517" s="15">
        <v>78.540000000000006</v>
      </c>
      <c r="K517" s="14">
        <v>154</v>
      </c>
      <c r="L517" s="14">
        <v>9</v>
      </c>
      <c r="M517" s="15">
        <v>5.34</v>
      </c>
      <c r="N517" s="17">
        <v>210266.23999999999</v>
      </c>
      <c r="O517" s="17">
        <v>8415.9859792785846</v>
      </c>
      <c r="P517" s="17">
        <v>4661.6168627440175</v>
      </c>
      <c r="Q517" s="17">
        <v>197188.63715797741</v>
      </c>
      <c r="R517" s="17">
        <v>145770.23999999999</v>
      </c>
      <c r="S517" s="17">
        <v>51418.397157977422</v>
      </c>
      <c r="T517" s="17">
        <v>48.06</v>
      </c>
    </row>
    <row r="518" spans="1:20" x14ac:dyDescent="0.3">
      <c r="A518" s="13">
        <v>45443</v>
      </c>
      <c r="B518" s="7" t="s">
        <v>118</v>
      </c>
      <c r="C518" s="7" t="s">
        <v>27</v>
      </c>
      <c r="D518" s="7" t="s">
        <v>103</v>
      </c>
      <c r="E518" s="7" t="s">
        <v>25</v>
      </c>
      <c r="F518" s="14">
        <v>2632</v>
      </c>
      <c r="G518" s="15">
        <v>250.18</v>
      </c>
      <c r="H518" s="16">
        <v>5.9146581918472149E-2</v>
      </c>
      <c r="I518" s="16">
        <v>3.4852173250852582E-2</v>
      </c>
      <c r="J518" s="15">
        <v>129.28</v>
      </c>
      <c r="K518" s="14">
        <v>1705</v>
      </c>
      <c r="L518" s="14">
        <v>546</v>
      </c>
      <c r="M518" s="15">
        <v>31.65</v>
      </c>
      <c r="N518" s="17">
        <v>658473.76</v>
      </c>
      <c r="O518" s="17">
        <v>38946.472187004372</v>
      </c>
      <c r="P518" s="17">
        <v>21591.87236848933</v>
      </c>
      <c r="Q518" s="17">
        <v>597935.41544450633</v>
      </c>
      <c r="R518" s="17">
        <v>340264.96000000002</v>
      </c>
      <c r="S518" s="17">
        <v>257670.45544450631</v>
      </c>
      <c r="T518" s="17">
        <v>17280.900000000001</v>
      </c>
    </row>
    <row r="519" spans="1:20" x14ac:dyDescent="0.3">
      <c r="A519" s="13">
        <v>45443</v>
      </c>
      <c r="B519" s="7" t="s">
        <v>118</v>
      </c>
      <c r="C519" s="7" t="s">
        <v>27</v>
      </c>
      <c r="D519" s="7" t="s">
        <v>103</v>
      </c>
      <c r="E519" s="7" t="s">
        <v>28</v>
      </c>
      <c r="F519" s="14">
        <v>1386</v>
      </c>
      <c r="G519" s="15">
        <v>238.68</v>
      </c>
      <c r="H519" s="16">
        <v>8.7068730488226262E-2</v>
      </c>
      <c r="I519" s="16">
        <v>6.7898050255084608E-2</v>
      </c>
      <c r="J519" s="15">
        <v>126.5</v>
      </c>
      <c r="K519" s="14">
        <v>1159</v>
      </c>
      <c r="L519" s="14">
        <v>332</v>
      </c>
      <c r="M519" s="15">
        <v>15.89</v>
      </c>
      <c r="N519" s="17">
        <v>330810.48</v>
      </c>
      <c r="O519" s="17">
        <v>28803.248525800758</v>
      </c>
      <c r="P519" s="17">
        <v>20505.70218003415</v>
      </c>
      <c r="Q519" s="17">
        <v>281501.52929416508</v>
      </c>
      <c r="R519" s="17">
        <v>175329</v>
      </c>
      <c r="S519" s="17">
        <v>106172.5292941651</v>
      </c>
      <c r="T519" s="17">
        <v>5275.48</v>
      </c>
    </row>
    <row r="520" spans="1:20" x14ac:dyDescent="0.3">
      <c r="A520" s="13">
        <v>45443</v>
      </c>
      <c r="B520" s="7" t="s">
        <v>118</v>
      </c>
      <c r="C520" s="7" t="s">
        <v>27</v>
      </c>
      <c r="D520" s="7" t="s">
        <v>103</v>
      </c>
      <c r="E520" s="7" t="s">
        <v>30</v>
      </c>
      <c r="F520" s="14">
        <v>919</v>
      </c>
      <c r="G520" s="15">
        <v>201.81</v>
      </c>
      <c r="H520" s="16">
        <v>2.898184129737762E-2</v>
      </c>
      <c r="I520" s="16">
        <v>1.783613058205806E-2</v>
      </c>
      <c r="J520" s="15">
        <v>131.4</v>
      </c>
      <c r="K520" s="14">
        <v>77</v>
      </c>
      <c r="L520" s="14">
        <v>5</v>
      </c>
      <c r="M520" s="15">
        <v>4.7300000000000004</v>
      </c>
      <c r="N520" s="17">
        <v>185463.39</v>
      </c>
      <c r="O520" s="17">
        <v>5375.0705354536512</v>
      </c>
      <c r="P520" s="17">
        <v>3212.0787822730372</v>
      </c>
      <c r="Q520" s="17">
        <v>176876.24068227329</v>
      </c>
      <c r="R520" s="17">
        <v>120756.6</v>
      </c>
      <c r="S520" s="17">
        <v>56119.640682273312</v>
      </c>
      <c r="T520" s="17">
        <v>23.65</v>
      </c>
    </row>
    <row r="521" spans="1:20" x14ac:dyDescent="0.3">
      <c r="A521" s="13">
        <v>45443</v>
      </c>
      <c r="B521" s="7" t="s">
        <v>118</v>
      </c>
      <c r="C521" s="7" t="s">
        <v>27</v>
      </c>
      <c r="D521" s="7" t="s">
        <v>104</v>
      </c>
      <c r="E521" s="7" t="s">
        <v>25</v>
      </c>
      <c r="F521" s="14">
        <v>1905</v>
      </c>
      <c r="G521" s="15">
        <v>48.73</v>
      </c>
      <c r="H521" s="16">
        <v>5.8554319924270543E-2</v>
      </c>
      <c r="I521" s="16">
        <v>3.5158260487512631E-2</v>
      </c>
      <c r="J521" s="15">
        <v>22.85</v>
      </c>
      <c r="K521" s="14">
        <v>1366</v>
      </c>
      <c r="L521" s="14">
        <v>497</v>
      </c>
      <c r="M521" s="15">
        <v>30.99</v>
      </c>
      <c r="N521" s="17">
        <v>92830.65</v>
      </c>
      <c r="O521" s="17">
        <v>5435.6355788779847</v>
      </c>
      <c r="P521" s="17">
        <v>3072.6566823277299</v>
      </c>
      <c r="Q521" s="17">
        <v>84322.357738794279</v>
      </c>
      <c r="R521" s="17">
        <v>43529.25</v>
      </c>
      <c r="S521" s="17">
        <v>40793.107738794279</v>
      </c>
      <c r="T521" s="17">
        <v>15402.03</v>
      </c>
    </row>
    <row r="522" spans="1:20" x14ac:dyDescent="0.3">
      <c r="A522" s="13">
        <v>45443</v>
      </c>
      <c r="B522" s="7" t="s">
        <v>118</v>
      </c>
      <c r="C522" s="7" t="s">
        <v>27</v>
      </c>
      <c r="D522" s="7" t="s">
        <v>104</v>
      </c>
      <c r="E522" s="7" t="s">
        <v>28</v>
      </c>
      <c r="F522" s="14">
        <v>989</v>
      </c>
      <c r="G522" s="15">
        <v>49.8</v>
      </c>
      <c r="H522" s="16">
        <v>8.5371135368972881E-2</v>
      </c>
      <c r="I522" s="16">
        <v>6.4175229519670043E-2</v>
      </c>
      <c r="J522" s="15">
        <v>23.17</v>
      </c>
      <c r="K522" s="14">
        <v>824</v>
      </c>
      <c r="L522" s="14">
        <v>252</v>
      </c>
      <c r="M522" s="15">
        <v>15.26</v>
      </c>
      <c r="N522" s="17">
        <v>49252.2</v>
      </c>
      <c r="O522" s="17">
        <v>4204.7162334197264</v>
      </c>
      <c r="P522" s="17">
        <v>2890.9326100038988</v>
      </c>
      <c r="Q522" s="17">
        <v>42156.551156576374</v>
      </c>
      <c r="R522" s="17">
        <v>22915.13</v>
      </c>
      <c r="S522" s="17">
        <v>19241.421156576369</v>
      </c>
      <c r="T522" s="17">
        <v>3845.52</v>
      </c>
    </row>
    <row r="523" spans="1:20" x14ac:dyDescent="0.3">
      <c r="A523" s="13">
        <v>45443</v>
      </c>
      <c r="B523" s="7" t="s">
        <v>118</v>
      </c>
      <c r="C523" s="7" t="s">
        <v>27</v>
      </c>
      <c r="D523" s="7" t="s">
        <v>104</v>
      </c>
      <c r="E523" s="7" t="s">
        <v>30</v>
      </c>
      <c r="F523" s="14">
        <v>652</v>
      </c>
      <c r="G523" s="15">
        <v>44</v>
      </c>
      <c r="H523" s="16">
        <v>3.5703739382344959E-2</v>
      </c>
      <c r="I523" s="16">
        <v>1.7916873471922692E-2</v>
      </c>
      <c r="J523" s="15">
        <v>23.48</v>
      </c>
      <c r="K523" s="14">
        <v>53</v>
      </c>
      <c r="L523" s="14">
        <v>3</v>
      </c>
      <c r="M523" s="15">
        <v>5.36</v>
      </c>
      <c r="N523" s="17">
        <v>28688</v>
      </c>
      <c r="O523" s="17">
        <v>1024.268875400712</v>
      </c>
      <c r="P523" s="17">
        <v>495.64757032073499</v>
      </c>
      <c r="Q523" s="17">
        <v>27168.08355427855</v>
      </c>
      <c r="R523" s="17">
        <v>15308.96</v>
      </c>
      <c r="S523" s="17">
        <v>11859.123554278551</v>
      </c>
      <c r="T523" s="17">
        <v>16.079999999999998</v>
      </c>
    </row>
    <row r="524" spans="1:20" x14ac:dyDescent="0.3">
      <c r="A524" s="13">
        <v>45443</v>
      </c>
      <c r="B524" s="7" t="s">
        <v>118</v>
      </c>
      <c r="C524" s="7" t="s">
        <v>29</v>
      </c>
      <c r="D524" s="7" t="s">
        <v>102</v>
      </c>
      <c r="E524" s="7" t="s">
        <v>25</v>
      </c>
      <c r="F524" s="14">
        <v>4511</v>
      </c>
      <c r="G524" s="15">
        <v>111.79</v>
      </c>
      <c r="H524" s="16">
        <v>5.5537096451908657E-2</v>
      </c>
      <c r="I524" s="16">
        <v>5.0973001875437088E-2</v>
      </c>
      <c r="J524" s="15">
        <v>67.23</v>
      </c>
      <c r="K524" s="14">
        <v>3271</v>
      </c>
      <c r="L524" s="14">
        <v>1062</v>
      </c>
      <c r="M524" s="15">
        <v>14.68</v>
      </c>
      <c r="N524" s="17">
        <v>504284.69</v>
      </c>
      <c r="O524" s="17">
        <v>28006.50746775086</v>
      </c>
      <c r="P524" s="17">
        <v>24277.32869144611</v>
      </c>
      <c r="Q524" s="17">
        <v>452000.85384080303</v>
      </c>
      <c r="R524" s="17">
        <v>303274.53000000003</v>
      </c>
      <c r="S524" s="17">
        <v>148726.323840803</v>
      </c>
      <c r="T524" s="17">
        <v>15590.16</v>
      </c>
    </row>
    <row r="525" spans="1:20" x14ac:dyDescent="0.3">
      <c r="A525" s="13">
        <v>45443</v>
      </c>
      <c r="B525" s="7" t="s">
        <v>118</v>
      </c>
      <c r="C525" s="7" t="s">
        <v>29</v>
      </c>
      <c r="D525" s="7" t="s">
        <v>102</v>
      </c>
      <c r="E525" s="7" t="s">
        <v>28</v>
      </c>
      <c r="F525" s="14">
        <v>2167</v>
      </c>
      <c r="G525" s="15">
        <v>109</v>
      </c>
      <c r="H525" s="16">
        <v>7.6908459784931882E-2</v>
      </c>
      <c r="I525" s="16">
        <v>6.1658029762109101E-2</v>
      </c>
      <c r="J525" s="15">
        <v>69.22</v>
      </c>
      <c r="K525" s="14">
        <v>1823</v>
      </c>
      <c r="L525" s="14">
        <v>511</v>
      </c>
      <c r="M525" s="15">
        <v>19.600000000000001</v>
      </c>
      <c r="N525" s="17">
        <v>236203</v>
      </c>
      <c r="O525" s="17">
        <v>18166.00892658026</v>
      </c>
      <c r="P525" s="17">
        <v>13443.731284845629</v>
      </c>
      <c r="Q525" s="17">
        <v>204593.2597885741</v>
      </c>
      <c r="R525" s="17">
        <v>149999.74</v>
      </c>
      <c r="S525" s="17">
        <v>54593.519788574144</v>
      </c>
      <c r="T525" s="17">
        <v>10015.6</v>
      </c>
    </row>
    <row r="526" spans="1:20" x14ac:dyDescent="0.3">
      <c r="A526" s="13">
        <v>45443</v>
      </c>
      <c r="B526" s="7" t="s">
        <v>118</v>
      </c>
      <c r="C526" s="7" t="s">
        <v>29</v>
      </c>
      <c r="D526" s="7" t="s">
        <v>102</v>
      </c>
      <c r="E526" s="7" t="s">
        <v>30</v>
      </c>
      <c r="F526" s="14">
        <v>936</v>
      </c>
      <c r="G526" s="15">
        <v>96.86</v>
      </c>
      <c r="H526" s="16">
        <v>3.6771713449059169E-2</v>
      </c>
      <c r="I526" s="16">
        <v>2.3989218899478831E-2</v>
      </c>
      <c r="J526" s="15">
        <v>66.61</v>
      </c>
      <c r="K526" s="14">
        <v>75</v>
      </c>
      <c r="L526" s="14">
        <v>4</v>
      </c>
      <c r="M526" s="15">
        <v>5.04</v>
      </c>
      <c r="N526" s="17">
        <v>90660.96</v>
      </c>
      <c r="O526" s="17">
        <v>3333.7588421366158</v>
      </c>
      <c r="P526" s="17">
        <v>2094.911344454807</v>
      </c>
      <c r="Q526" s="17">
        <v>85232.289813408584</v>
      </c>
      <c r="R526" s="17">
        <v>62346.96</v>
      </c>
      <c r="S526" s="17">
        <v>22885.329813408589</v>
      </c>
      <c r="T526" s="17">
        <v>20.16</v>
      </c>
    </row>
    <row r="527" spans="1:20" x14ac:dyDescent="0.3">
      <c r="A527" s="13">
        <v>45443</v>
      </c>
      <c r="B527" s="7" t="s">
        <v>118</v>
      </c>
      <c r="C527" s="7" t="s">
        <v>29</v>
      </c>
      <c r="D527" s="7" t="s">
        <v>103</v>
      </c>
      <c r="E527" s="7" t="s">
        <v>25</v>
      </c>
      <c r="F527" s="14">
        <v>2162</v>
      </c>
      <c r="G527" s="15">
        <v>219.72</v>
      </c>
      <c r="H527" s="16">
        <v>4.3765234866938722E-2</v>
      </c>
      <c r="I527" s="16">
        <v>1.608043795686976E-2</v>
      </c>
      <c r="J527" s="15">
        <v>124</v>
      </c>
      <c r="K527" s="14">
        <v>1602</v>
      </c>
      <c r="L527" s="14">
        <v>591</v>
      </c>
      <c r="M527" s="15">
        <v>31.97</v>
      </c>
      <c r="N527" s="17">
        <v>475034.64</v>
      </c>
      <c r="O527" s="17">
        <v>20790.002589531679</v>
      </c>
      <c r="P527" s="17">
        <v>7304.4527091198379</v>
      </c>
      <c r="Q527" s="17">
        <v>446940.18470134848</v>
      </c>
      <c r="R527" s="17">
        <v>268088</v>
      </c>
      <c r="S527" s="17">
        <v>178852.18470134851</v>
      </c>
      <c r="T527" s="17">
        <v>18894.27</v>
      </c>
    </row>
    <row r="528" spans="1:20" x14ac:dyDescent="0.3">
      <c r="A528" s="13">
        <v>45443</v>
      </c>
      <c r="B528" s="7" t="s">
        <v>118</v>
      </c>
      <c r="C528" s="7" t="s">
        <v>29</v>
      </c>
      <c r="D528" s="7" t="s">
        <v>103</v>
      </c>
      <c r="E528" s="7" t="s">
        <v>28</v>
      </c>
      <c r="F528" s="14">
        <v>1099</v>
      </c>
      <c r="G528" s="15">
        <v>214.45</v>
      </c>
      <c r="H528" s="16">
        <v>9.5666025712823094E-2</v>
      </c>
      <c r="I528" s="16">
        <v>6.4148722583865725E-2</v>
      </c>
      <c r="J528" s="15">
        <v>120.97</v>
      </c>
      <c r="K528" s="14">
        <v>866</v>
      </c>
      <c r="L528" s="14">
        <v>268</v>
      </c>
      <c r="M528" s="15">
        <v>12.91</v>
      </c>
      <c r="N528" s="17">
        <v>235680.55</v>
      </c>
      <c r="O528" s="17">
        <v>22546.62155631229</v>
      </c>
      <c r="P528" s="17">
        <v>13672.26924894361</v>
      </c>
      <c r="Q528" s="17">
        <v>199461.6591947441</v>
      </c>
      <c r="R528" s="17">
        <v>132946.03</v>
      </c>
      <c r="S528" s="17">
        <v>66515.629194744106</v>
      </c>
      <c r="T528" s="17">
        <v>3459.88</v>
      </c>
    </row>
    <row r="529" spans="1:20" x14ac:dyDescent="0.3">
      <c r="A529" s="13">
        <v>45443</v>
      </c>
      <c r="B529" s="7" t="s">
        <v>118</v>
      </c>
      <c r="C529" s="7" t="s">
        <v>29</v>
      </c>
      <c r="D529" s="7" t="s">
        <v>103</v>
      </c>
      <c r="E529" s="7" t="s">
        <v>30</v>
      </c>
      <c r="F529" s="14">
        <v>908</v>
      </c>
      <c r="G529" s="15">
        <v>171.74</v>
      </c>
      <c r="H529" s="16">
        <v>3.2923242012953317E-2</v>
      </c>
      <c r="I529" s="16">
        <v>2.717543699611118E-2</v>
      </c>
      <c r="J529" s="15">
        <v>119.68</v>
      </c>
      <c r="K529" s="14">
        <v>74</v>
      </c>
      <c r="L529" s="14">
        <v>5</v>
      </c>
      <c r="M529" s="15">
        <v>6.31</v>
      </c>
      <c r="N529" s="17">
        <v>155939.92000000001</v>
      </c>
      <c r="O529" s="17">
        <v>5134.0477256405793</v>
      </c>
      <c r="P529" s="17">
        <v>4098.2154806354438</v>
      </c>
      <c r="Q529" s="17">
        <v>146707.65679372399</v>
      </c>
      <c r="R529" s="17">
        <v>108669.44</v>
      </c>
      <c r="S529" s="17">
        <v>38038.216793723986</v>
      </c>
      <c r="T529" s="17">
        <v>31.55</v>
      </c>
    </row>
    <row r="530" spans="1:20" x14ac:dyDescent="0.3">
      <c r="A530" s="13">
        <v>45443</v>
      </c>
      <c r="B530" s="7" t="s">
        <v>118</v>
      </c>
      <c r="C530" s="7" t="s">
        <v>29</v>
      </c>
      <c r="D530" s="7" t="s">
        <v>104</v>
      </c>
      <c r="E530" s="7" t="s">
        <v>25</v>
      </c>
      <c r="F530" s="14">
        <v>1542</v>
      </c>
      <c r="G530" s="15">
        <v>43.92</v>
      </c>
      <c r="H530" s="16">
        <v>6.628819932165339E-2</v>
      </c>
      <c r="I530" s="16">
        <v>4.025210867540082E-2</v>
      </c>
      <c r="J530" s="15">
        <v>21.15</v>
      </c>
      <c r="K530" s="14">
        <v>985</v>
      </c>
      <c r="L530" s="14">
        <v>394</v>
      </c>
      <c r="M530" s="15">
        <v>32.950000000000003</v>
      </c>
      <c r="N530" s="17">
        <v>67724.639999999999</v>
      </c>
      <c r="O530" s="17">
        <v>4489.34443530722</v>
      </c>
      <c r="P530" s="17">
        <v>2545.353989191105</v>
      </c>
      <c r="Q530" s="17">
        <v>60689.941575501667</v>
      </c>
      <c r="R530" s="17">
        <v>32613.3</v>
      </c>
      <c r="S530" s="17">
        <v>28076.641575501679</v>
      </c>
      <c r="T530" s="17">
        <v>12982.3</v>
      </c>
    </row>
    <row r="531" spans="1:20" x14ac:dyDescent="0.3">
      <c r="A531" s="13">
        <v>45443</v>
      </c>
      <c r="B531" s="7" t="s">
        <v>118</v>
      </c>
      <c r="C531" s="7" t="s">
        <v>29</v>
      </c>
      <c r="D531" s="7" t="s">
        <v>104</v>
      </c>
      <c r="E531" s="7" t="s">
        <v>28</v>
      </c>
      <c r="F531" s="14">
        <v>1056</v>
      </c>
      <c r="G531" s="15">
        <v>43.03</v>
      </c>
      <c r="H531" s="16">
        <v>9.2844024280241993E-2</v>
      </c>
      <c r="I531" s="16">
        <v>6.314301345394191E-2</v>
      </c>
      <c r="J531" s="15">
        <v>21.45</v>
      </c>
      <c r="K531" s="14">
        <v>897</v>
      </c>
      <c r="L531" s="14">
        <v>268</v>
      </c>
      <c r="M531" s="15">
        <v>18.760000000000002</v>
      </c>
      <c r="N531" s="17">
        <v>45439.68</v>
      </c>
      <c r="O531" s="17">
        <v>4218.8027532064261</v>
      </c>
      <c r="P531" s="17">
        <v>2602.8104065775751</v>
      </c>
      <c r="Q531" s="17">
        <v>38618.066840216001</v>
      </c>
      <c r="R531" s="17">
        <v>22651.200000000001</v>
      </c>
      <c r="S531" s="17">
        <v>15966.866840216</v>
      </c>
      <c r="T531" s="17">
        <v>5027.68</v>
      </c>
    </row>
    <row r="532" spans="1:20" x14ac:dyDescent="0.3">
      <c r="A532" s="13">
        <v>45443</v>
      </c>
      <c r="B532" s="7" t="s">
        <v>118</v>
      </c>
      <c r="C532" s="7" t="s">
        <v>29</v>
      </c>
      <c r="D532" s="7" t="s">
        <v>104</v>
      </c>
      <c r="E532" s="7" t="s">
        <v>30</v>
      </c>
      <c r="F532" s="14">
        <v>685</v>
      </c>
      <c r="G532" s="15">
        <v>36.47</v>
      </c>
      <c r="H532" s="16">
        <v>3.4673382930768763E-2</v>
      </c>
      <c r="I532" s="16">
        <v>2.4988160384601221E-2</v>
      </c>
      <c r="J532" s="15">
        <v>21.98</v>
      </c>
      <c r="K532" s="14">
        <v>55</v>
      </c>
      <c r="L532" s="14">
        <v>4</v>
      </c>
      <c r="M532" s="15">
        <v>5.68</v>
      </c>
      <c r="N532" s="17">
        <v>24981.95</v>
      </c>
      <c r="O532" s="17">
        <v>866.20871870731855</v>
      </c>
      <c r="P532" s="17">
        <v>602.6080109304902</v>
      </c>
      <c r="Q532" s="17">
        <v>23513.133270362188</v>
      </c>
      <c r="R532" s="17">
        <v>15056.3</v>
      </c>
      <c r="S532" s="17">
        <v>8456.8332703621909</v>
      </c>
      <c r="T532" s="17">
        <v>22.72</v>
      </c>
    </row>
    <row r="533" spans="1:20" x14ac:dyDescent="0.3">
      <c r="A533" s="13">
        <v>45443</v>
      </c>
      <c r="B533" s="7" t="s">
        <v>118</v>
      </c>
      <c r="C533" s="7" t="s">
        <v>31</v>
      </c>
      <c r="D533" s="7" t="s">
        <v>102</v>
      </c>
      <c r="E533" s="7" t="s">
        <v>25</v>
      </c>
      <c r="F533" s="14">
        <v>1855</v>
      </c>
      <c r="G533" s="15">
        <v>110.92</v>
      </c>
      <c r="H533" s="16">
        <v>4.2040213975934347E-2</v>
      </c>
      <c r="I533" s="16">
        <v>2.8787562599056082E-2</v>
      </c>
      <c r="J533" s="15">
        <v>70.290000000000006</v>
      </c>
      <c r="K533" s="14">
        <v>1276</v>
      </c>
      <c r="L533" s="14">
        <v>499</v>
      </c>
      <c r="M533" s="15">
        <v>31.24</v>
      </c>
      <c r="N533" s="17">
        <v>205756.6</v>
      </c>
      <c r="O533" s="17">
        <v>8650.0514909607336</v>
      </c>
      <c r="P533" s="17">
        <v>5674.2171038878523</v>
      </c>
      <c r="Q533" s="17">
        <v>191432.3314051514</v>
      </c>
      <c r="R533" s="17">
        <v>130387.95</v>
      </c>
      <c r="S533" s="17">
        <v>61044.38140515142</v>
      </c>
      <c r="T533" s="17">
        <v>15588.76</v>
      </c>
    </row>
    <row r="534" spans="1:20" x14ac:dyDescent="0.3">
      <c r="A534" s="13">
        <v>45443</v>
      </c>
      <c r="B534" s="7" t="s">
        <v>118</v>
      </c>
      <c r="C534" s="7" t="s">
        <v>31</v>
      </c>
      <c r="D534" s="7" t="s">
        <v>102</v>
      </c>
      <c r="E534" s="7" t="s">
        <v>28</v>
      </c>
      <c r="F534" s="14">
        <v>809</v>
      </c>
      <c r="G534" s="15">
        <v>98.28</v>
      </c>
      <c r="H534" s="16">
        <v>8.8632710297529296E-2</v>
      </c>
      <c r="I534" s="16">
        <v>5.1023436291284287E-2</v>
      </c>
      <c r="J534" s="15">
        <v>66.400000000000006</v>
      </c>
      <c r="K534" s="14">
        <v>638</v>
      </c>
      <c r="L534" s="14">
        <v>179</v>
      </c>
      <c r="M534" s="15">
        <v>17.78</v>
      </c>
      <c r="N534" s="17">
        <v>79508.52</v>
      </c>
      <c r="O534" s="17">
        <v>7047.055619345314</v>
      </c>
      <c r="P534" s="17">
        <v>3697.2329113995011</v>
      </c>
      <c r="Q534" s="17">
        <v>68764.231469255188</v>
      </c>
      <c r="R534" s="17">
        <v>53717.600000000013</v>
      </c>
      <c r="S534" s="17">
        <v>15046.63146925518</v>
      </c>
      <c r="T534" s="17">
        <v>3182.62</v>
      </c>
    </row>
    <row r="535" spans="1:20" x14ac:dyDescent="0.3">
      <c r="A535" s="13">
        <v>45443</v>
      </c>
      <c r="B535" s="7" t="s">
        <v>118</v>
      </c>
      <c r="C535" s="7" t="s">
        <v>31</v>
      </c>
      <c r="D535" s="7" t="s">
        <v>102</v>
      </c>
      <c r="E535" s="7" t="s">
        <v>30</v>
      </c>
      <c r="F535" s="14">
        <v>759</v>
      </c>
      <c r="G535" s="15">
        <v>92.92</v>
      </c>
      <c r="H535" s="16">
        <v>4.5838609366090431E-2</v>
      </c>
      <c r="I535" s="16">
        <v>1.61045363031165E-2</v>
      </c>
      <c r="J535" s="15">
        <v>68.8</v>
      </c>
      <c r="K535" s="14">
        <v>69</v>
      </c>
      <c r="L535" s="14">
        <v>4</v>
      </c>
      <c r="M535" s="15">
        <v>4.59</v>
      </c>
      <c r="N535" s="17">
        <v>70526.28</v>
      </c>
      <c r="O535" s="17">
        <v>3232.8265989635161</v>
      </c>
      <c r="P535" s="17">
        <v>1083.72986325907</v>
      </c>
      <c r="Q535" s="17">
        <v>66209.72353777742</v>
      </c>
      <c r="R535" s="17">
        <v>52219.199999999997</v>
      </c>
      <c r="S535" s="17">
        <v>13990.523537777421</v>
      </c>
      <c r="T535" s="17">
        <v>18.36</v>
      </c>
    </row>
    <row r="536" spans="1:20" x14ac:dyDescent="0.3">
      <c r="A536" s="13">
        <v>45443</v>
      </c>
      <c r="B536" s="7" t="s">
        <v>118</v>
      </c>
      <c r="C536" s="7" t="s">
        <v>31</v>
      </c>
      <c r="D536" s="7" t="s">
        <v>103</v>
      </c>
      <c r="E536" s="7" t="s">
        <v>25</v>
      </c>
      <c r="F536" s="14">
        <v>919</v>
      </c>
      <c r="G536" s="15">
        <v>204.46</v>
      </c>
      <c r="H536" s="16">
        <v>5.6127216120408212E-2</v>
      </c>
      <c r="I536" s="16">
        <v>2.5159433350756651E-2</v>
      </c>
      <c r="J536" s="15">
        <v>116.5</v>
      </c>
      <c r="K536" s="14">
        <v>672</v>
      </c>
      <c r="L536" s="14">
        <v>265</v>
      </c>
      <c r="M536" s="15">
        <v>38.950000000000003</v>
      </c>
      <c r="N536" s="17">
        <v>187898.74</v>
      </c>
      <c r="O536" s="17">
        <v>10546.233188732391</v>
      </c>
      <c r="P536" s="17">
        <v>4462.0885747077036</v>
      </c>
      <c r="Q536" s="17">
        <v>172890.4182365599</v>
      </c>
      <c r="R536" s="17">
        <v>107063.5</v>
      </c>
      <c r="S536" s="17">
        <v>65826.918236559926</v>
      </c>
      <c r="T536" s="17">
        <v>10321.75</v>
      </c>
    </row>
    <row r="537" spans="1:20" x14ac:dyDescent="0.3">
      <c r="A537" s="13">
        <v>45443</v>
      </c>
      <c r="B537" s="7" t="s">
        <v>118</v>
      </c>
      <c r="C537" s="7" t="s">
        <v>31</v>
      </c>
      <c r="D537" s="7" t="s">
        <v>103</v>
      </c>
      <c r="E537" s="7" t="s">
        <v>28</v>
      </c>
      <c r="F537" s="14">
        <v>307</v>
      </c>
      <c r="G537" s="15">
        <v>185.11</v>
      </c>
      <c r="H537" s="16">
        <v>7.9300933463944623E-2</v>
      </c>
      <c r="I537" s="16">
        <v>5.3646021274077353E-2</v>
      </c>
      <c r="J537" s="15">
        <v>112.43</v>
      </c>
      <c r="K537" s="14">
        <v>245</v>
      </c>
      <c r="L537" s="14">
        <v>74</v>
      </c>
      <c r="M537" s="15">
        <v>14.84</v>
      </c>
      <c r="N537" s="17">
        <v>56828.77</v>
      </c>
      <c r="O537" s="17">
        <v>4506.5745086078123</v>
      </c>
      <c r="P537" s="17">
        <v>2806.87761243766</v>
      </c>
      <c r="Q537" s="17">
        <v>49515.317878954527</v>
      </c>
      <c r="R537" s="17">
        <v>34516.01</v>
      </c>
      <c r="S537" s="17">
        <v>14999.307878954531</v>
      </c>
      <c r="T537" s="17">
        <v>1098.1600000000001</v>
      </c>
    </row>
    <row r="538" spans="1:20" x14ac:dyDescent="0.3">
      <c r="A538" s="13">
        <v>45443</v>
      </c>
      <c r="B538" s="7" t="s">
        <v>118</v>
      </c>
      <c r="C538" s="7" t="s">
        <v>31</v>
      </c>
      <c r="D538" s="7" t="s">
        <v>103</v>
      </c>
      <c r="E538" s="7" t="s">
        <v>30</v>
      </c>
      <c r="F538" s="14">
        <v>367</v>
      </c>
      <c r="G538" s="15">
        <v>162.94</v>
      </c>
      <c r="H538" s="16">
        <v>4.4391733015059068E-2</v>
      </c>
      <c r="I538" s="16">
        <v>1.901539096001555E-2</v>
      </c>
      <c r="J538" s="15">
        <v>115.6</v>
      </c>
      <c r="K538" s="14">
        <v>29</v>
      </c>
      <c r="L538" s="14">
        <v>2</v>
      </c>
      <c r="M538" s="15">
        <v>5.04</v>
      </c>
      <c r="N538" s="17">
        <v>59798.98</v>
      </c>
      <c r="O538" s="17">
        <v>2654.5803547328569</v>
      </c>
      <c r="P538" s="17">
        <v>1086.6231004301289</v>
      </c>
      <c r="Q538" s="17">
        <v>56057.776544837012</v>
      </c>
      <c r="R538" s="17">
        <v>42425.2</v>
      </c>
      <c r="S538" s="17">
        <v>13632.576544837009</v>
      </c>
      <c r="T538" s="17">
        <v>10.08</v>
      </c>
    </row>
    <row r="539" spans="1:20" x14ac:dyDescent="0.3">
      <c r="A539" s="13">
        <v>45443</v>
      </c>
      <c r="B539" s="7" t="s">
        <v>118</v>
      </c>
      <c r="C539" s="7" t="s">
        <v>31</v>
      </c>
      <c r="D539" s="7" t="s">
        <v>104</v>
      </c>
      <c r="E539" s="7" t="s">
        <v>25</v>
      </c>
      <c r="F539" s="14">
        <v>519</v>
      </c>
      <c r="G539" s="15">
        <v>40.869999999999997</v>
      </c>
      <c r="H539" s="16">
        <v>6.9053320606167742E-2</v>
      </c>
      <c r="I539" s="16">
        <v>2.8725039010469619E-2</v>
      </c>
      <c r="J539" s="15">
        <v>22.22</v>
      </c>
      <c r="K539" s="14">
        <v>365</v>
      </c>
      <c r="L539" s="14">
        <v>142</v>
      </c>
      <c r="M539" s="15">
        <v>32.89</v>
      </c>
      <c r="N539" s="17">
        <v>21211.53</v>
      </c>
      <c r="O539" s="17">
        <v>1464.7265816373449</v>
      </c>
      <c r="P539" s="17">
        <v>567.22769852454201</v>
      </c>
      <c r="Q539" s="17">
        <v>19179.575719838111</v>
      </c>
      <c r="R539" s="17">
        <v>11532.18</v>
      </c>
      <c r="S539" s="17">
        <v>7647.395719838114</v>
      </c>
      <c r="T539" s="17">
        <v>4670.38</v>
      </c>
    </row>
    <row r="540" spans="1:20" x14ac:dyDescent="0.3">
      <c r="A540" s="13">
        <v>45443</v>
      </c>
      <c r="B540" s="7" t="s">
        <v>118</v>
      </c>
      <c r="C540" s="7" t="s">
        <v>31</v>
      </c>
      <c r="D540" s="7" t="s">
        <v>104</v>
      </c>
      <c r="E540" s="7" t="s">
        <v>28</v>
      </c>
      <c r="F540" s="14">
        <v>304</v>
      </c>
      <c r="G540" s="15">
        <v>40</v>
      </c>
      <c r="H540" s="16">
        <v>7.5464831779141317E-2</v>
      </c>
      <c r="I540" s="16">
        <v>4.8562211412801017E-2</v>
      </c>
      <c r="J540" s="15">
        <v>22.16</v>
      </c>
      <c r="K540" s="14">
        <v>253</v>
      </c>
      <c r="L540" s="14">
        <v>75</v>
      </c>
      <c r="M540" s="15">
        <v>16.07</v>
      </c>
      <c r="N540" s="17">
        <v>12160</v>
      </c>
      <c r="O540" s="17">
        <v>917.65235443435836</v>
      </c>
      <c r="P540" s="17">
        <v>545.95326314016449</v>
      </c>
      <c r="Q540" s="17">
        <v>10696.39438242548</v>
      </c>
      <c r="R540" s="17">
        <v>6736.64</v>
      </c>
      <c r="S540" s="17">
        <v>3959.7543824254758</v>
      </c>
      <c r="T540" s="17">
        <v>1205.25</v>
      </c>
    </row>
    <row r="541" spans="1:20" x14ac:dyDescent="0.3">
      <c r="A541" s="13">
        <v>45443</v>
      </c>
      <c r="B541" s="7" t="s">
        <v>118</v>
      </c>
      <c r="C541" s="7" t="s">
        <v>31</v>
      </c>
      <c r="D541" s="7" t="s">
        <v>104</v>
      </c>
      <c r="E541" s="7" t="s">
        <v>30</v>
      </c>
      <c r="F541" s="14">
        <v>304</v>
      </c>
      <c r="G541" s="15">
        <v>34.44</v>
      </c>
      <c r="H541" s="16">
        <v>3.3077846311960847E-2</v>
      </c>
      <c r="I541" s="16">
        <v>2.3773666490339049E-2</v>
      </c>
      <c r="J541" s="15">
        <v>21.62</v>
      </c>
      <c r="K541" s="14">
        <v>27</v>
      </c>
      <c r="L541" s="14">
        <v>2</v>
      </c>
      <c r="M541" s="15">
        <v>5.43</v>
      </c>
      <c r="N541" s="17">
        <v>10469.76</v>
      </c>
      <c r="O541" s="17">
        <v>346.31711220311519</v>
      </c>
      <c r="P541" s="17">
        <v>240.6713549484779</v>
      </c>
      <c r="Q541" s="17">
        <v>9882.7715328484064</v>
      </c>
      <c r="R541" s="17">
        <v>6572.48</v>
      </c>
      <c r="S541" s="17">
        <v>3310.291532848406</v>
      </c>
      <c r="T541" s="17">
        <v>10.86</v>
      </c>
    </row>
    <row r="542" spans="1:20" x14ac:dyDescent="0.3">
      <c r="A542" s="13">
        <v>45473</v>
      </c>
      <c r="B542" s="7" t="s">
        <v>119</v>
      </c>
      <c r="C542" s="7" t="s">
        <v>24</v>
      </c>
      <c r="D542" s="7" t="s">
        <v>102</v>
      </c>
      <c r="E542" s="7" t="s">
        <v>25</v>
      </c>
      <c r="F542" s="14">
        <v>5741</v>
      </c>
      <c r="G542" s="15">
        <v>124.52</v>
      </c>
      <c r="H542" s="16">
        <v>6.8470636797779719E-2</v>
      </c>
      <c r="I542" s="16">
        <v>4.1918977358730361E-2</v>
      </c>
      <c r="J542" s="15">
        <v>76.349999999999994</v>
      </c>
      <c r="K542" s="14">
        <v>4039</v>
      </c>
      <c r="L542" s="14">
        <v>1345</v>
      </c>
      <c r="M542" s="15">
        <v>37.9</v>
      </c>
      <c r="N542" s="17">
        <v>714869.32</v>
      </c>
      <c r="O542" s="17">
        <v>48947.557567595759</v>
      </c>
      <c r="P542" s="17">
        <v>27914.75928208977</v>
      </c>
      <c r="Q542" s="17">
        <v>638007.00315031444</v>
      </c>
      <c r="R542" s="17">
        <v>438325.35</v>
      </c>
      <c r="S542" s="17">
        <v>199681.65315031449</v>
      </c>
      <c r="T542" s="17">
        <v>50975.5</v>
      </c>
    </row>
    <row r="543" spans="1:20" x14ac:dyDescent="0.3">
      <c r="A543" s="13">
        <v>45473</v>
      </c>
      <c r="B543" s="7" t="s">
        <v>119</v>
      </c>
      <c r="C543" s="7" t="s">
        <v>24</v>
      </c>
      <c r="D543" s="7" t="s">
        <v>102</v>
      </c>
      <c r="E543" s="7" t="s">
        <v>28</v>
      </c>
      <c r="F543" s="14">
        <v>3128</v>
      </c>
      <c r="G543" s="15">
        <v>113.32</v>
      </c>
      <c r="H543" s="16">
        <v>7.7304614627461229E-2</v>
      </c>
      <c r="I543" s="16">
        <v>5.1588586395302102E-2</v>
      </c>
      <c r="J543" s="15">
        <v>67.72</v>
      </c>
      <c r="K543" s="14">
        <v>2610</v>
      </c>
      <c r="L543" s="14">
        <v>781</v>
      </c>
      <c r="M543" s="15">
        <v>18.149999999999999</v>
      </c>
      <c r="N543" s="17">
        <v>354464.96</v>
      </c>
      <c r="O543" s="17">
        <v>27401.777131738461</v>
      </c>
      <c r="P543" s="17">
        <v>16872.727266121801</v>
      </c>
      <c r="Q543" s="17">
        <v>310190.45560213982</v>
      </c>
      <c r="R543" s="17">
        <v>211828.16</v>
      </c>
      <c r="S543" s="17">
        <v>98362.295602139755</v>
      </c>
      <c r="T543" s="17">
        <v>14175.15</v>
      </c>
    </row>
    <row r="544" spans="1:20" x14ac:dyDescent="0.3">
      <c r="A544" s="13">
        <v>45473</v>
      </c>
      <c r="B544" s="7" t="s">
        <v>119</v>
      </c>
      <c r="C544" s="7" t="s">
        <v>24</v>
      </c>
      <c r="D544" s="7" t="s">
        <v>102</v>
      </c>
      <c r="E544" s="7" t="s">
        <v>30</v>
      </c>
      <c r="F544" s="14">
        <v>2692</v>
      </c>
      <c r="G544" s="15">
        <v>104.76</v>
      </c>
      <c r="H544" s="16">
        <v>4.1362206873189332E-2</v>
      </c>
      <c r="I544" s="16">
        <v>1.8379659123955151E-2</v>
      </c>
      <c r="J544" s="15">
        <v>73.41</v>
      </c>
      <c r="K544" s="14">
        <v>209</v>
      </c>
      <c r="L544" s="14">
        <v>13</v>
      </c>
      <c r="M544" s="15">
        <v>5.61</v>
      </c>
      <c r="N544" s="17">
        <v>282013.92</v>
      </c>
      <c r="O544" s="17">
        <v>11664.718100159071</v>
      </c>
      <c r="P544" s="17">
        <v>4968.9261753524052</v>
      </c>
      <c r="Q544" s="17">
        <v>265380.27572448849</v>
      </c>
      <c r="R544" s="17">
        <v>197619.72</v>
      </c>
      <c r="S544" s="17">
        <v>67760.555724488542</v>
      </c>
      <c r="T544" s="17">
        <v>72.930000000000007</v>
      </c>
    </row>
    <row r="545" spans="1:20" x14ac:dyDescent="0.3">
      <c r="A545" s="13">
        <v>45473</v>
      </c>
      <c r="B545" s="7" t="s">
        <v>119</v>
      </c>
      <c r="C545" s="7" t="s">
        <v>24</v>
      </c>
      <c r="D545" s="7" t="s">
        <v>103</v>
      </c>
      <c r="E545" s="7" t="s">
        <v>25</v>
      </c>
      <c r="F545" s="14">
        <v>3719</v>
      </c>
      <c r="G545" s="15">
        <v>236.99</v>
      </c>
      <c r="H545" s="16">
        <v>5.4630338472494433E-2</v>
      </c>
      <c r="I545" s="16">
        <v>6.0979393391324313E-2</v>
      </c>
      <c r="J545" s="15">
        <v>121.7</v>
      </c>
      <c r="K545" s="14">
        <v>2480</v>
      </c>
      <c r="L545" s="14">
        <v>958</v>
      </c>
      <c r="M545" s="15">
        <v>32.19</v>
      </c>
      <c r="N545" s="17">
        <v>881365.81</v>
      </c>
      <c r="O545" s="17">
        <v>48149.312518384213</v>
      </c>
      <c r="P545" s="17">
        <v>50809.036580072832</v>
      </c>
      <c r="Q545" s="17">
        <v>782407.46090154303</v>
      </c>
      <c r="R545" s="17">
        <v>452602.3</v>
      </c>
      <c r="S545" s="17">
        <v>329805.16090154299</v>
      </c>
      <c r="T545" s="17">
        <v>30838.02</v>
      </c>
    </row>
    <row r="546" spans="1:20" x14ac:dyDescent="0.3">
      <c r="A546" s="13">
        <v>45473</v>
      </c>
      <c r="B546" s="7" t="s">
        <v>119</v>
      </c>
      <c r="C546" s="7" t="s">
        <v>24</v>
      </c>
      <c r="D546" s="7" t="s">
        <v>103</v>
      </c>
      <c r="E546" s="7" t="s">
        <v>28</v>
      </c>
      <c r="F546" s="14">
        <v>1417</v>
      </c>
      <c r="G546" s="15">
        <v>213.35</v>
      </c>
      <c r="H546" s="16">
        <v>7.5256363795294337E-2</v>
      </c>
      <c r="I546" s="16">
        <v>6.2030075218384363E-2</v>
      </c>
      <c r="J546" s="15">
        <v>127.34</v>
      </c>
      <c r="K546" s="14">
        <v>1191</v>
      </c>
      <c r="L546" s="14">
        <v>320</v>
      </c>
      <c r="M546" s="15">
        <v>20.09</v>
      </c>
      <c r="N546" s="17">
        <v>302316.95</v>
      </c>
      <c r="O546" s="17">
        <v>22751.274370683808</v>
      </c>
      <c r="P546" s="17">
        <v>17341.47988776493</v>
      </c>
      <c r="Q546" s="17">
        <v>262224.19574155129</v>
      </c>
      <c r="R546" s="17">
        <v>180440.78</v>
      </c>
      <c r="S546" s="17">
        <v>81783.415741551289</v>
      </c>
      <c r="T546" s="17">
        <v>6428.8</v>
      </c>
    </row>
    <row r="547" spans="1:20" x14ac:dyDescent="0.3">
      <c r="A547" s="13">
        <v>45473</v>
      </c>
      <c r="B547" s="7" t="s">
        <v>119</v>
      </c>
      <c r="C547" s="7" t="s">
        <v>24</v>
      </c>
      <c r="D547" s="7" t="s">
        <v>103</v>
      </c>
      <c r="E547" s="7" t="s">
        <v>30</v>
      </c>
      <c r="F547" s="14">
        <v>835</v>
      </c>
      <c r="G547" s="15">
        <v>185.03</v>
      </c>
      <c r="H547" s="16">
        <v>4.0942767513945641E-2</v>
      </c>
      <c r="I547" s="16">
        <v>2.088094911251346E-2</v>
      </c>
      <c r="J547" s="15">
        <v>121.18</v>
      </c>
      <c r="K547" s="14">
        <v>75</v>
      </c>
      <c r="L547" s="14">
        <v>5</v>
      </c>
      <c r="M547" s="15">
        <v>5.18</v>
      </c>
      <c r="N547" s="17">
        <v>154500.04999999999</v>
      </c>
      <c r="O547" s="17">
        <v>6325.6596280429767</v>
      </c>
      <c r="P547" s="17">
        <v>3094.0219051345389</v>
      </c>
      <c r="Q547" s="17">
        <v>145080.36846682249</v>
      </c>
      <c r="R547" s="17">
        <v>101185.3</v>
      </c>
      <c r="S547" s="17">
        <v>43895.068466822457</v>
      </c>
      <c r="T547" s="17">
        <v>25.9</v>
      </c>
    </row>
    <row r="548" spans="1:20" x14ac:dyDescent="0.3">
      <c r="A548" s="13">
        <v>45473</v>
      </c>
      <c r="B548" s="7" t="s">
        <v>119</v>
      </c>
      <c r="C548" s="7" t="s">
        <v>24</v>
      </c>
      <c r="D548" s="7" t="s">
        <v>104</v>
      </c>
      <c r="E548" s="7" t="s">
        <v>25</v>
      </c>
      <c r="F548" s="14">
        <v>2524</v>
      </c>
      <c r="G548" s="15">
        <v>45.38</v>
      </c>
      <c r="H548" s="16">
        <v>6.131252823193846E-2</v>
      </c>
      <c r="I548" s="16">
        <v>4.585299436516338E-2</v>
      </c>
      <c r="J548" s="15">
        <v>23.02</v>
      </c>
      <c r="K548" s="14">
        <v>1713</v>
      </c>
      <c r="L548" s="14">
        <v>624</v>
      </c>
      <c r="M548" s="15">
        <v>36.72</v>
      </c>
      <c r="N548" s="17">
        <v>114539.12</v>
      </c>
      <c r="O548" s="17">
        <v>7022.6830286613877</v>
      </c>
      <c r="P548" s="17">
        <v>4929.9505786092341</v>
      </c>
      <c r="Q548" s="17">
        <v>102586.48639272941</v>
      </c>
      <c r="R548" s="17">
        <v>58102.48</v>
      </c>
      <c r="S548" s="17">
        <v>44484.006392729403</v>
      </c>
      <c r="T548" s="17">
        <v>22913.279999999999</v>
      </c>
    </row>
    <row r="549" spans="1:20" x14ac:dyDescent="0.3">
      <c r="A549" s="13">
        <v>45473</v>
      </c>
      <c r="B549" s="7" t="s">
        <v>119</v>
      </c>
      <c r="C549" s="7" t="s">
        <v>24</v>
      </c>
      <c r="D549" s="7" t="s">
        <v>104</v>
      </c>
      <c r="E549" s="7" t="s">
        <v>28</v>
      </c>
      <c r="F549" s="14">
        <v>1357</v>
      </c>
      <c r="G549" s="15">
        <v>42.74</v>
      </c>
      <c r="H549" s="16">
        <v>7.7840936336081523E-2</v>
      </c>
      <c r="I549" s="16">
        <v>4.5536998928651332E-2</v>
      </c>
      <c r="J549" s="15">
        <v>23.4</v>
      </c>
      <c r="K549" s="14">
        <v>1107</v>
      </c>
      <c r="L549" s="14">
        <v>349</v>
      </c>
      <c r="M549" s="15">
        <v>21.05</v>
      </c>
      <c r="N549" s="17">
        <v>57998.18</v>
      </c>
      <c r="O549" s="17">
        <v>4514.6326369885956</v>
      </c>
      <c r="P549" s="17">
        <v>2435.480238969923</v>
      </c>
      <c r="Q549" s="17">
        <v>51048.067124041481</v>
      </c>
      <c r="R549" s="17">
        <v>31753.8</v>
      </c>
      <c r="S549" s="17">
        <v>19294.267124041478</v>
      </c>
      <c r="T549" s="17">
        <v>7346.45</v>
      </c>
    </row>
    <row r="550" spans="1:20" x14ac:dyDescent="0.3">
      <c r="A550" s="13">
        <v>45473</v>
      </c>
      <c r="B550" s="7" t="s">
        <v>119</v>
      </c>
      <c r="C550" s="7" t="s">
        <v>24</v>
      </c>
      <c r="D550" s="7" t="s">
        <v>104</v>
      </c>
      <c r="E550" s="7" t="s">
        <v>30</v>
      </c>
      <c r="F550" s="14">
        <v>1118</v>
      </c>
      <c r="G550" s="15">
        <v>38.93</v>
      </c>
      <c r="H550" s="16">
        <v>3.9248953429701007E-2</v>
      </c>
      <c r="I550" s="16">
        <v>2.4234410519424571E-2</v>
      </c>
      <c r="J550" s="15">
        <v>22.59</v>
      </c>
      <c r="K550" s="14">
        <v>97</v>
      </c>
      <c r="L550" s="14">
        <v>6</v>
      </c>
      <c r="M550" s="15">
        <v>4.6500000000000004</v>
      </c>
      <c r="N550" s="17">
        <v>43523.74</v>
      </c>
      <c r="O550" s="17">
        <v>1708.261244346415</v>
      </c>
      <c r="P550" s="17">
        <v>1013.373478230786</v>
      </c>
      <c r="Q550" s="17">
        <v>40802.105277422786</v>
      </c>
      <c r="R550" s="17">
        <v>25255.62</v>
      </c>
      <c r="S550" s="17">
        <v>15546.485277422789</v>
      </c>
      <c r="T550" s="17">
        <v>27.9</v>
      </c>
    </row>
    <row r="551" spans="1:20" x14ac:dyDescent="0.3">
      <c r="A551" s="13">
        <v>45473</v>
      </c>
      <c r="B551" s="7" t="s">
        <v>119</v>
      </c>
      <c r="C551" s="7" t="s">
        <v>27</v>
      </c>
      <c r="D551" s="7" t="s">
        <v>102</v>
      </c>
      <c r="E551" s="7" t="s">
        <v>25</v>
      </c>
      <c r="F551" s="14">
        <v>5974</v>
      </c>
      <c r="G551" s="15">
        <v>135.35</v>
      </c>
      <c r="H551" s="16">
        <v>5.047403429722512E-2</v>
      </c>
      <c r="I551" s="16">
        <v>1.501938982507061E-2</v>
      </c>
      <c r="J551" s="15">
        <v>75.47</v>
      </c>
      <c r="K551" s="14">
        <v>4264</v>
      </c>
      <c r="L551" s="14">
        <v>1555</v>
      </c>
      <c r="M551" s="15">
        <v>35.51</v>
      </c>
      <c r="N551" s="17">
        <v>808580.9</v>
      </c>
      <c r="O551" s="17">
        <v>40812.340078681147</v>
      </c>
      <c r="P551" s="17">
        <v>11531.41529689137</v>
      </c>
      <c r="Q551" s="17">
        <v>756237.14462442754</v>
      </c>
      <c r="R551" s="17">
        <v>450857.78</v>
      </c>
      <c r="S551" s="17">
        <v>305379.36462442757</v>
      </c>
      <c r="T551" s="17">
        <v>55218.05</v>
      </c>
    </row>
    <row r="552" spans="1:20" x14ac:dyDescent="0.3">
      <c r="A552" s="13">
        <v>45473</v>
      </c>
      <c r="B552" s="7" t="s">
        <v>119</v>
      </c>
      <c r="C552" s="7" t="s">
        <v>27</v>
      </c>
      <c r="D552" s="7" t="s">
        <v>102</v>
      </c>
      <c r="E552" s="7" t="s">
        <v>28</v>
      </c>
      <c r="F552" s="14">
        <v>2582</v>
      </c>
      <c r="G552" s="15">
        <v>120.36</v>
      </c>
      <c r="H552" s="16">
        <v>0.10849096495333151</v>
      </c>
      <c r="I552" s="16">
        <v>4.370918126822871E-2</v>
      </c>
      <c r="J552" s="15">
        <v>77.84</v>
      </c>
      <c r="K552" s="14">
        <v>1984</v>
      </c>
      <c r="L552" s="14">
        <v>583</v>
      </c>
      <c r="M552" s="15">
        <v>21.06</v>
      </c>
      <c r="N552" s="17">
        <v>310769.52</v>
      </c>
      <c r="O552" s="17">
        <v>33715.685102883654</v>
      </c>
      <c r="P552" s="17">
        <v>12109.79629057597</v>
      </c>
      <c r="Q552" s="17">
        <v>264944.03860654042</v>
      </c>
      <c r="R552" s="17">
        <v>200982.88</v>
      </c>
      <c r="S552" s="17">
        <v>63961.158606540354</v>
      </c>
      <c r="T552" s="17">
        <v>12277.98</v>
      </c>
    </row>
    <row r="553" spans="1:20" x14ac:dyDescent="0.3">
      <c r="A553" s="13">
        <v>45473</v>
      </c>
      <c r="B553" s="7" t="s">
        <v>119</v>
      </c>
      <c r="C553" s="7" t="s">
        <v>27</v>
      </c>
      <c r="D553" s="7" t="s">
        <v>102</v>
      </c>
      <c r="E553" s="7" t="s">
        <v>30</v>
      </c>
      <c r="F553" s="14">
        <v>1676</v>
      </c>
      <c r="G553" s="15">
        <v>108.81</v>
      </c>
      <c r="H553" s="16">
        <v>4.0614907852949238E-2</v>
      </c>
      <c r="I553" s="16">
        <v>1.7585862045965409E-2</v>
      </c>
      <c r="J553" s="15">
        <v>71.010000000000005</v>
      </c>
      <c r="K553" s="14">
        <v>133</v>
      </c>
      <c r="L553" s="14">
        <v>8</v>
      </c>
      <c r="M553" s="15">
        <v>2.99</v>
      </c>
      <c r="N553" s="17">
        <v>182365.56</v>
      </c>
      <c r="O553" s="17">
        <v>7406.7604149514864</v>
      </c>
      <c r="P553" s="17">
        <v>3076.8013132303731</v>
      </c>
      <c r="Q553" s="17">
        <v>171881.99827181819</v>
      </c>
      <c r="R553" s="17">
        <v>119012.76</v>
      </c>
      <c r="S553" s="17">
        <v>52869.238271818147</v>
      </c>
      <c r="T553" s="17">
        <v>23.92</v>
      </c>
    </row>
    <row r="554" spans="1:20" x14ac:dyDescent="0.3">
      <c r="A554" s="13">
        <v>45473</v>
      </c>
      <c r="B554" s="7" t="s">
        <v>119</v>
      </c>
      <c r="C554" s="7" t="s">
        <v>27</v>
      </c>
      <c r="D554" s="7" t="s">
        <v>103</v>
      </c>
      <c r="E554" s="7" t="s">
        <v>25</v>
      </c>
      <c r="F554" s="14">
        <v>2566</v>
      </c>
      <c r="G554" s="15">
        <v>252.84</v>
      </c>
      <c r="H554" s="16">
        <v>7.0560980489692005E-2</v>
      </c>
      <c r="I554" s="16">
        <v>3.7274552786381913E-2</v>
      </c>
      <c r="J554" s="15">
        <v>127.28</v>
      </c>
      <c r="K554" s="14">
        <v>1730</v>
      </c>
      <c r="L554" s="14">
        <v>636</v>
      </c>
      <c r="M554" s="15">
        <v>34.880000000000003</v>
      </c>
      <c r="N554" s="17">
        <v>648787.44000000006</v>
      </c>
      <c r="O554" s="17">
        <v>45779.077895797229</v>
      </c>
      <c r="P554" s="17">
        <v>22476.867023882809</v>
      </c>
      <c r="Q554" s="17">
        <v>580531.49508032005</v>
      </c>
      <c r="R554" s="17">
        <v>326600.48</v>
      </c>
      <c r="S554" s="17">
        <v>253931.0150803201</v>
      </c>
      <c r="T554" s="17">
        <v>22183.68</v>
      </c>
    </row>
    <row r="555" spans="1:20" x14ac:dyDescent="0.3">
      <c r="A555" s="13">
        <v>45473</v>
      </c>
      <c r="B555" s="7" t="s">
        <v>119</v>
      </c>
      <c r="C555" s="7" t="s">
        <v>27</v>
      </c>
      <c r="D555" s="7" t="s">
        <v>103</v>
      </c>
      <c r="E555" s="7" t="s">
        <v>28</v>
      </c>
      <c r="F555" s="14">
        <v>877</v>
      </c>
      <c r="G555" s="15">
        <v>237.58</v>
      </c>
      <c r="H555" s="16">
        <v>6.3853838516216732E-2</v>
      </c>
      <c r="I555" s="16">
        <v>4.8579670952865889E-2</v>
      </c>
      <c r="J555" s="15">
        <v>125.21</v>
      </c>
      <c r="K555" s="14">
        <v>737</v>
      </c>
      <c r="L555" s="14">
        <v>228</v>
      </c>
      <c r="M555" s="15">
        <v>18.32</v>
      </c>
      <c r="N555" s="17">
        <v>208357.66</v>
      </c>
      <c r="O555" s="17">
        <v>13304.43637525679</v>
      </c>
      <c r="P555" s="17">
        <v>9475.621421985792</v>
      </c>
      <c r="Q555" s="17">
        <v>185577.60220275741</v>
      </c>
      <c r="R555" s="17">
        <v>109809.17</v>
      </c>
      <c r="S555" s="17">
        <v>75768.432202757409</v>
      </c>
      <c r="T555" s="17">
        <v>4176.96</v>
      </c>
    </row>
    <row r="556" spans="1:20" x14ac:dyDescent="0.3">
      <c r="A556" s="13">
        <v>45473</v>
      </c>
      <c r="B556" s="7" t="s">
        <v>119</v>
      </c>
      <c r="C556" s="7" t="s">
        <v>27</v>
      </c>
      <c r="D556" s="7" t="s">
        <v>103</v>
      </c>
      <c r="E556" s="7" t="s">
        <v>30</v>
      </c>
      <c r="F556" s="14">
        <v>977</v>
      </c>
      <c r="G556" s="15">
        <v>201.25</v>
      </c>
      <c r="H556" s="16">
        <v>4.6898032113272488E-2</v>
      </c>
      <c r="I556" s="16">
        <v>2.148288469265152E-2</v>
      </c>
      <c r="J556" s="15">
        <v>133.49</v>
      </c>
      <c r="K556" s="14">
        <v>86</v>
      </c>
      <c r="L556" s="14">
        <v>5</v>
      </c>
      <c r="M556" s="15">
        <v>5.26</v>
      </c>
      <c r="N556" s="17">
        <v>196621.25</v>
      </c>
      <c r="O556" s="17">
        <v>9221.1496966517789</v>
      </c>
      <c r="P556" s="17">
        <v>4025.8947462081601</v>
      </c>
      <c r="Q556" s="17">
        <v>183374.20555714011</v>
      </c>
      <c r="R556" s="17">
        <v>130419.73</v>
      </c>
      <c r="S556" s="17">
        <v>52954.475557140053</v>
      </c>
      <c r="T556" s="17">
        <v>26.3</v>
      </c>
    </row>
    <row r="557" spans="1:20" x14ac:dyDescent="0.3">
      <c r="A557" s="13">
        <v>45473</v>
      </c>
      <c r="B557" s="7" t="s">
        <v>119</v>
      </c>
      <c r="C557" s="7" t="s">
        <v>27</v>
      </c>
      <c r="D557" s="7" t="s">
        <v>104</v>
      </c>
      <c r="E557" s="7" t="s">
        <v>25</v>
      </c>
      <c r="F557" s="14">
        <v>1600</v>
      </c>
      <c r="G557" s="15">
        <v>51.67</v>
      </c>
      <c r="H557" s="16">
        <v>7.069737140778308E-2</v>
      </c>
      <c r="I557" s="16">
        <v>5.8493621413863807E-2</v>
      </c>
      <c r="J557" s="15">
        <v>24.17</v>
      </c>
      <c r="K557" s="14">
        <v>1045</v>
      </c>
      <c r="L557" s="14">
        <v>360</v>
      </c>
      <c r="M557" s="15">
        <v>38.700000000000003</v>
      </c>
      <c r="N557" s="17">
        <v>82672</v>
      </c>
      <c r="O557" s="17">
        <v>5844.6930890242429</v>
      </c>
      <c r="P557" s="17">
        <v>4493.9074046973392</v>
      </c>
      <c r="Q557" s="17">
        <v>72333.399506278423</v>
      </c>
      <c r="R557" s="17">
        <v>38672</v>
      </c>
      <c r="S557" s="17">
        <v>33661.399506278423</v>
      </c>
      <c r="T557" s="17">
        <v>13932</v>
      </c>
    </row>
    <row r="558" spans="1:20" x14ac:dyDescent="0.3">
      <c r="A558" s="13">
        <v>45473</v>
      </c>
      <c r="B558" s="7" t="s">
        <v>119</v>
      </c>
      <c r="C558" s="7" t="s">
        <v>27</v>
      </c>
      <c r="D558" s="7" t="s">
        <v>104</v>
      </c>
      <c r="E558" s="7" t="s">
        <v>28</v>
      </c>
      <c r="F558" s="14">
        <v>807</v>
      </c>
      <c r="G558" s="15">
        <v>48.28</v>
      </c>
      <c r="H558" s="16">
        <v>9.1450499053602044E-2</v>
      </c>
      <c r="I558" s="16">
        <v>6.581057220949485E-2</v>
      </c>
      <c r="J558" s="15">
        <v>23.8</v>
      </c>
      <c r="K558" s="14">
        <v>641</v>
      </c>
      <c r="L558" s="14">
        <v>202</v>
      </c>
      <c r="M558" s="15">
        <v>22.16</v>
      </c>
      <c r="N558" s="17">
        <v>38961.96</v>
      </c>
      <c r="O558" s="17">
        <v>3563.09068610648</v>
      </c>
      <c r="P558" s="17">
        <v>2329.619845116461</v>
      </c>
      <c r="Q558" s="17">
        <v>33069.24946877706</v>
      </c>
      <c r="R558" s="17">
        <v>19206.599999999999</v>
      </c>
      <c r="S558" s="17">
        <v>13862.649468777059</v>
      </c>
      <c r="T558" s="17">
        <v>4476.32</v>
      </c>
    </row>
    <row r="559" spans="1:20" x14ac:dyDescent="0.3">
      <c r="A559" s="13">
        <v>45473</v>
      </c>
      <c r="B559" s="7" t="s">
        <v>119</v>
      </c>
      <c r="C559" s="7" t="s">
        <v>27</v>
      </c>
      <c r="D559" s="7" t="s">
        <v>104</v>
      </c>
      <c r="E559" s="7" t="s">
        <v>30</v>
      </c>
      <c r="F559" s="14">
        <v>905</v>
      </c>
      <c r="G559" s="15">
        <v>42.22</v>
      </c>
      <c r="H559" s="16">
        <v>3.7232981607792287E-2</v>
      </c>
      <c r="I559" s="16">
        <v>2.3782823374565699E-2</v>
      </c>
      <c r="J559" s="15">
        <v>22.59</v>
      </c>
      <c r="K559" s="14">
        <v>77</v>
      </c>
      <c r="L559" s="14">
        <v>5</v>
      </c>
      <c r="M559" s="15">
        <v>5.95</v>
      </c>
      <c r="N559" s="17">
        <v>38209.1</v>
      </c>
      <c r="O559" s="17">
        <v>1422.638717550296</v>
      </c>
      <c r="P559" s="17">
        <v>874.88591125580081</v>
      </c>
      <c r="Q559" s="17">
        <v>35911.575371193903</v>
      </c>
      <c r="R559" s="17">
        <v>20443.95</v>
      </c>
      <c r="S559" s="17">
        <v>15467.625371193901</v>
      </c>
      <c r="T559" s="17">
        <v>29.75</v>
      </c>
    </row>
    <row r="560" spans="1:20" x14ac:dyDescent="0.3">
      <c r="A560" s="13">
        <v>45473</v>
      </c>
      <c r="B560" s="7" t="s">
        <v>119</v>
      </c>
      <c r="C560" s="7" t="s">
        <v>29</v>
      </c>
      <c r="D560" s="7" t="s">
        <v>102</v>
      </c>
      <c r="E560" s="7" t="s">
        <v>25</v>
      </c>
      <c r="F560" s="14">
        <v>3434</v>
      </c>
      <c r="G560" s="15">
        <v>120.89</v>
      </c>
      <c r="H560" s="16">
        <v>5.9694672966648821E-2</v>
      </c>
      <c r="I560" s="16">
        <v>2.4052440418366679E-2</v>
      </c>
      <c r="J560" s="15">
        <v>71.58</v>
      </c>
      <c r="K560" s="14">
        <v>2395</v>
      </c>
      <c r="L560" s="14">
        <v>864</v>
      </c>
      <c r="M560" s="15">
        <v>28.67</v>
      </c>
      <c r="N560" s="17">
        <v>415136.26</v>
      </c>
      <c r="O560" s="17">
        <v>24781.423277297701</v>
      </c>
      <c r="P560" s="17">
        <v>9388.9864522940497</v>
      </c>
      <c r="Q560" s="17">
        <v>380965.85027040832</v>
      </c>
      <c r="R560" s="17">
        <v>245805.72</v>
      </c>
      <c r="S560" s="17">
        <v>135160.13027040829</v>
      </c>
      <c r="T560" s="17">
        <v>24770.880000000001</v>
      </c>
    </row>
    <row r="561" spans="1:20" x14ac:dyDescent="0.3">
      <c r="A561" s="13">
        <v>45473</v>
      </c>
      <c r="B561" s="7" t="s">
        <v>119</v>
      </c>
      <c r="C561" s="7" t="s">
        <v>29</v>
      </c>
      <c r="D561" s="7" t="s">
        <v>102</v>
      </c>
      <c r="E561" s="7" t="s">
        <v>28</v>
      </c>
      <c r="F561" s="14">
        <v>2268</v>
      </c>
      <c r="G561" s="15">
        <v>109.4</v>
      </c>
      <c r="H561" s="16">
        <v>8.2044014875730611E-2</v>
      </c>
      <c r="I561" s="16">
        <v>5.3120420458483732E-2</v>
      </c>
      <c r="J561" s="15">
        <v>72.5</v>
      </c>
      <c r="K561" s="14">
        <v>1890</v>
      </c>
      <c r="L561" s="14">
        <v>580</v>
      </c>
      <c r="M561" s="15">
        <v>23.43</v>
      </c>
      <c r="N561" s="17">
        <v>248119.2</v>
      </c>
      <c r="O561" s="17">
        <v>20356.695335754379</v>
      </c>
      <c r="P561" s="17">
        <v>12098.84001244209</v>
      </c>
      <c r="Q561" s="17">
        <v>215663.66465180361</v>
      </c>
      <c r="R561" s="17">
        <v>164430</v>
      </c>
      <c r="S561" s="17">
        <v>51233.664651803563</v>
      </c>
      <c r="T561" s="17">
        <v>13589.4</v>
      </c>
    </row>
    <row r="562" spans="1:20" x14ac:dyDescent="0.3">
      <c r="A562" s="13">
        <v>45473</v>
      </c>
      <c r="B562" s="7" t="s">
        <v>119</v>
      </c>
      <c r="C562" s="7" t="s">
        <v>29</v>
      </c>
      <c r="D562" s="7" t="s">
        <v>102</v>
      </c>
      <c r="E562" s="7" t="s">
        <v>30</v>
      </c>
      <c r="F562" s="14">
        <v>1339</v>
      </c>
      <c r="G562" s="15">
        <v>94.86</v>
      </c>
      <c r="H562" s="16">
        <v>3.424732926287935E-2</v>
      </c>
      <c r="I562" s="16">
        <v>1.323745655279639E-2</v>
      </c>
      <c r="J562" s="15">
        <v>67.33</v>
      </c>
      <c r="K562" s="14">
        <v>116</v>
      </c>
      <c r="L562" s="14">
        <v>6</v>
      </c>
      <c r="M562" s="15">
        <v>5.37</v>
      </c>
      <c r="N562" s="17">
        <v>127017.54</v>
      </c>
      <c r="O562" s="17">
        <v>4350.0115145409482</v>
      </c>
      <c r="P562" s="17">
        <v>1623.8060787651771</v>
      </c>
      <c r="Q562" s="17">
        <v>121043.72240669389</v>
      </c>
      <c r="R562" s="17">
        <v>90154.87</v>
      </c>
      <c r="S562" s="17">
        <v>30888.85240669387</v>
      </c>
      <c r="T562" s="17">
        <v>32.22</v>
      </c>
    </row>
    <row r="563" spans="1:20" x14ac:dyDescent="0.3">
      <c r="A563" s="13">
        <v>45473</v>
      </c>
      <c r="B563" s="7" t="s">
        <v>119</v>
      </c>
      <c r="C563" s="7" t="s">
        <v>29</v>
      </c>
      <c r="D563" s="7" t="s">
        <v>103</v>
      </c>
      <c r="E563" s="7" t="s">
        <v>25</v>
      </c>
      <c r="F563" s="14">
        <v>1862</v>
      </c>
      <c r="G563" s="15">
        <v>220.06</v>
      </c>
      <c r="H563" s="16">
        <v>6.5919868585353369E-2</v>
      </c>
      <c r="I563" s="16">
        <v>3.9304677137577307E-2</v>
      </c>
      <c r="J563" s="15">
        <v>116.86</v>
      </c>
      <c r="K563" s="14">
        <v>1304</v>
      </c>
      <c r="L563" s="14">
        <v>516</v>
      </c>
      <c r="M563" s="15">
        <v>38.090000000000003</v>
      </c>
      <c r="N563" s="17">
        <v>409751.72</v>
      </c>
      <c r="O563" s="17">
        <v>27010.77953502251</v>
      </c>
      <c r="P563" s="17">
        <v>15043.509092308641</v>
      </c>
      <c r="Q563" s="17">
        <v>367697.43137266889</v>
      </c>
      <c r="R563" s="17">
        <v>217593.32</v>
      </c>
      <c r="S563" s="17">
        <v>150104.11137266891</v>
      </c>
      <c r="T563" s="17">
        <v>19654.439999999999</v>
      </c>
    </row>
    <row r="564" spans="1:20" x14ac:dyDescent="0.3">
      <c r="A564" s="13">
        <v>45473</v>
      </c>
      <c r="B564" s="7" t="s">
        <v>119</v>
      </c>
      <c r="C564" s="7" t="s">
        <v>29</v>
      </c>
      <c r="D564" s="7" t="s">
        <v>103</v>
      </c>
      <c r="E564" s="7" t="s">
        <v>28</v>
      </c>
      <c r="F564" s="14">
        <v>791</v>
      </c>
      <c r="G564" s="15">
        <v>200.8</v>
      </c>
      <c r="H564" s="16">
        <v>8.436468984314266E-2</v>
      </c>
      <c r="I564" s="16">
        <v>6.5160808823451988E-2</v>
      </c>
      <c r="J564" s="15">
        <v>122.44</v>
      </c>
      <c r="K564" s="14">
        <v>634</v>
      </c>
      <c r="L564" s="14">
        <v>188</v>
      </c>
      <c r="M564" s="15">
        <v>15.09</v>
      </c>
      <c r="N564" s="17">
        <v>158832.79999999999</v>
      </c>
      <c r="O564" s="17">
        <v>13399.87990891791</v>
      </c>
      <c r="P564" s="17">
        <v>9476.5267026913716</v>
      </c>
      <c r="Q564" s="17">
        <v>135956.39338839069</v>
      </c>
      <c r="R564" s="17">
        <v>96850.04</v>
      </c>
      <c r="S564" s="17">
        <v>39106.353388390751</v>
      </c>
      <c r="T564" s="17">
        <v>2836.92</v>
      </c>
    </row>
    <row r="565" spans="1:20" x14ac:dyDescent="0.3">
      <c r="A565" s="13">
        <v>45473</v>
      </c>
      <c r="B565" s="7" t="s">
        <v>119</v>
      </c>
      <c r="C565" s="7" t="s">
        <v>29</v>
      </c>
      <c r="D565" s="7" t="s">
        <v>103</v>
      </c>
      <c r="E565" s="7" t="s">
        <v>30</v>
      </c>
      <c r="F565" s="14">
        <v>645</v>
      </c>
      <c r="G565" s="15">
        <v>188.56</v>
      </c>
      <c r="H565" s="16">
        <v>4.7080769042449157E-2</v>
      </c>
      <c r="I565" s="16">
        <v>2.5721465342799701E-2</v>
      </c>
      <c r="J565" s="15">
        <v>116.13</v>
      </c>
      <c r="K565" s="14">
        <v>56</v>
      </c>
      <c r="L565" s="14">
        <v>3</v>
      </c>
      <c r="M565" s="15">
        <v>5.69</v>
      </c>
      <c r="N565" s="17">
        <v>121621.2</v>
      </c>
      <c r="O565" s="17">
        <v>5726.0196278655176</v>
      </c>
      <c r="P565" s="17">
        <v>2980.993865339376</v>
      </c>
      <c r="Q565" s="17">
        <v>112914.1865067951</v>
      </c>
      <c r="R565" s="17">
        <v>74903.849999999991</v>
      </c>
      <c r="S565" s="17">
        <v>38010.336506795109</v>
      </c>
      <c r="T565" s="17">
        <v>17.07</v>
      </c>
    </row>
    <row r="566" spans="1:20" x14ac:dyDescent="0.3">
      <c r="A566" s="13">
        <v>45473</v>
      </c>
      <c r="B566" s="7" t="s">
        <v>119</v>
      </c>
      <c r="C566" s="7" t="s">
        <v>29</v>
      </c>
      <c r="D566" s="7" t="s">
        <v>104</v>
      </c>
      <c r="E566" s="7" t="s">
        <v>25</v>
      </c>
      <c r="F566" s="14">
        <v>1534</v>
      </c>
      <c r="G566" s="15">
        <v>45.77</v>
      </c>
      <c r="H566" s="16">
        <v>6.4507484319037897E-2</v>
      </c>
      <c r="I566" s="16">
        <v>3.1215261986579399E-2</v>
      </c>
      <c r="J566" s="15">
        <v>22.71</v>
      </c>
      <c r="K566" s="14">
        <v>1035</v>
      </c>
      <c r="L566" s="14">
        <v>397</v>
      </c>
      <c r="M566" s="15">
        <v>28.33</v>
      </c>
      <c r="N566" s="17">
        <v>70211.180000000008</v>
      </c>
      <c r="O566" s="17">
        <v>4529.1465928711477</v>
      </c>
      <c r="P566" s="17">
        <v>2050.281880614787</v>
      </c>
      <c r="Q566" s="17">
        <v>63631.751526514068</v>
      </c>
      <c r="R566" s="17">
        <v>34837.14</v>
      </c>
      <c r="S566" s="17">
        <v>28794.611526514069</v>
      </c>
      <c r="T566" s="17">
        <v>11247.01</v>
      </c>
    </row>
    <row r="567" spans="1:20" x14ac:dyDescent="0.3">
      <c r="A567" s="13">
        <v>45473</v>
      </c>
      <c r="B567" s="7" t="s">
        <v>119</v>
      </c>
      <c r="C567" s="7" t="s">
        <v>29</v>
      </c>
      <c r="D567" s="7" t="s">
        <v>104</v>
      </c>
      <c r="E567" s="7" t="s">
        <v>28</v>
      </c>
      <c r="F567" s="14">
        <v>732</v>
      </c>
      <c r="G567" s="15">
        <v>42.84</v>
      </c>
      <c r="H567" s="16">
        <v>7.5957384782485385E-2</v>
      </c>
      <c r="I567" s="16">
        <v>8.9177926114153996E-2</v>
      </c>
      <c r="J567" s="15">
        <v>21</v>
      </c>
      <c r="K567" s="14">
        <v>603</v>
      </c>
      <c r="L567" s="14">
        <v>179</v>
      </c>
      <c r="M567" s="15">
        <v>16.059999999999999</v>
      </c>
      <c r="N567" s="17">
        <v>31358.880000000001</v>
      </c>
      <c r="O567" s="17">
        <v>2381.9385145077849</v>
      </c>
      <c r="P567" s="17">
        <v>2584.1035468073878</v>
      </c>
      <c r="Q567" s="17">
        <v>26392.837938684821</v>
      </c>
      <c r="R567" s="17">
        <v>15372</v>
      </c>
      <c r="S567" s="17">
        <v>11020.837938684819</v>
      </c>
      <c r="T567" s="17">
        <v>2874.74</v>
      </c>
    </row>
    <row r="568" spans="1:20" x14ac:dyDescent="0.3">
      <c r="A568" s="13">
        <v>45473</v>
      </c>
      <c r="B568" s="7" t="s">
        <v>119</v>
      </c>
      <c r="C568" s="7" t="s">
        <v>29</v>
      </c>
      <c r="D568" s="7" t="s">
        <v>104</v>
      </c>
      <c r="E568" s="7" t="s">
        <v>30</v>
      </c>
      <c r="F568" s="14">
        <v>602</v>
      </c>
      <c r="G568" s="15">
        <v>36.61</v>
      </c>
      <c r="H568" s="16">
        <v>4.2463300511965701E-2</v>
      </c>
      <c r="I568" s="16">
        <v>1.88446526127116E-2</v>
      </c>
      <c r="J568" s="15">
        <v>23.14</v>
      </c>
      <c r="K568" s="14">
        <v>51</v>
      </c>
      <c r="L568" s="14">
        <v>3</v>
      </c>
      <c r="M568" s="15">
        <v>5.76</v>
      </c>
      <c r="N568" s="17">
        <v>22039.22</v>
      </c>
      <c r="O568" s="17">
        <v>935.85802190932475</v>
      </c>
      <c r="P568" s="17">
        <v>397.6855254374251</v>
      </c>
      <c r="Q568" s="17">
        <v>20705.67645265325</v>
      </c>
      <c r="R568" s="17">
        <v>13930.28</v>
      </c>
      <c r="S568" s="17">
        <v>6775.3964526532527</v>
      </c>
      <c r="T568" s="17">
        <v>17.28</v>
      </c>
    </row>
    <row r="569" spans="1:20" x14ac:dyDescent="0.3">
      <c r="A569" s="13">
        <v>45473</v>
      </c>
      <c r="B569" s="7" t="s">
        <v>119</v>
      </c>
      <c r="C569" s="7" t="s">
        <v>31</v>
      </c>
      <c r="D569" s="7" t="s">
        <v>102</v>
      </c>
      <c r="E569" s="7" t="s">
        <v>25</v>
      </c>
      <c r="F569" s="14">
        <v>2265</v>
      </c>
      <c r="G569" s="15">
        <v>109.62</v>
      </c>
      <c r="H569" s="16">
        <v>5.0949587618794798E-2</v>
      </c>
      <c r="I569" s="16">
        <v>4.3601641839457667E-2</v>
      </c>
      <c r="J569" s="15">
        <v>67.42</v>
      </c>
      <c r="K569" s="14">
        <v>1502</v>
      </c>
      <c r="L569" s="14">
        <v>568</v>
      </c>
      <c r="M569" s="15">
        <v>35.78</v>
      </c>
      <c r="N569" s="17">
        <v>248289.3</v>
      </c>
      <c r="O569" s="17">
        <v>12650.23744515923</v>
      </c>
      <c r="P569" s="17">
        <v>10274.25000890173</v>
      </c>
      <c r="Q569" s="17">
        <v>225364.81254593909</v>
      </c>
      <c r="R569" s="17">
        <v>152706.29999999999</v>
      </c>
      <c r="S569" s="17">
        <v>72658.51254593904</v>
      </c>
      <c r="T569" s="17">
        <v>20323.04</v>
      </c>
    </row>
    <row r="570" spans="1:20" x14ac:dyDescent="0.3">
      <c r="A570" s="13">
        <v>45473</v>
      </c>
      <c r="B570" s="7" t="s">
        <v>119</v>
      </c>
      <c r="C570" s="7" t="s">
        <v>31</v>
      </c>
      <c r="D570" s="7" t="s">
        <v>102</v>
      </c>
      <c r="E570" s="7" t="s">
        <v>28</v>
      </c>
      <c r="F570" s="14">
        <v>726</v>
      </c>
      <c r="G570" s="15">
        <v>104.4</v>
      </c>
      <c r="H570" s="16">
        <v>0.1006901006902389</v>
      </c>
      <c r="I570" s="16">
        <v>5.1440393546998302E-2</v>
      </c>
      <c r="J570" s="15">
        <v>70.28</v>
      </c>
      <c r="K570" s="14">
        <v>647</v>
      </c>
      <c r="L570" s="14">
        <v>184</v>
      </c>
      <c r="M570" s="15">
        <v>14.02</v>
      </c>
      <c r="N570" s="17">
        <v>75794.400000000009</v>
      </c>
      <c r="O570" s="17">
        <v>7631.7457677562452</v>
      </c>
      <c r="P570" s="17">
        <v>3506.313758914589</v>
      </c>
      <c r="Q570" s="17">
        <v>64656.340473329168</v>
      </c>
      <c r="R570" s="17">
        <v>51023.28</v>
      </c>
      <c r="S570" s="17">
        <v>13633.060473329169</v>
      </c>
      <c r="T570" s="17">
        <v>2579.6799999999998</v>
      </c>
    </row>
    <row r="571" spans="1:20" x14ac:dyDescent="0.3">
      <c r="A571" s="13">
        <v>45473</v>
      </c>
      <c r="B571" s="7" t="s">
        <v>119</v>
      </c>
      <c r="C571" s="7" t="s">
        <v>31</v>
      </c>
      <c r="D571" s="7" t="s">
        <v>102</v>
      </c>
      <c r="E571" s="7" t="s">
        <v>30</v>
      </c>
      <c r="F571" s="14">
        <v>914</v>
      </c>
      <c r="G571" s="15">
        <v>89.89</v>
      </c>
      <c r="H571" s="16">
        <v>4.4853515616356317E-2</v>
      </c>
      <c r="I571" s="16">
        <v>1.7077723540747811E-2</v>
      </c>
      <c r="J571" s="15">
        <v>66.98</v>
      </c>
      <c r="K571" s="14">
        <v>76</v>
      </c>
      <c r="L571" s="14">
        <v>4</v>
      </c>
      <c r="M571" s="15">
        <v>4.8</v>
      </c>
      <c r="N571" s="17">
        <v>82159.460000000006</v>
      </c>
      <c r="O571" s="17">
        <v>3685.1406221414022</v>
      </c>
      <c r="P571" s="17">
        <v>1340.1627313834181</v>
      </c>
      <c r="Q571" s="17">
        <v>77134.156646475181</v>
      </c>
      <c r="R571" s="17">
        <v>61219.72</v>
      </c>
      <c r="S571" s="17">
        <v>15914.43664647518</v>
      </c>
      <c r="T571" s="17">
        <v>19.2</v>
      </c>
    </row>
    <row r="572" spans="1:20" x14ac:dyDescent="0.3">
      <c r="A572" s="13">
        <v>45473</v>
      </c>
      <c r="B572" s="7" t="s">
        <v>119</v>
      </c>
      <c r="C572" s="7" t="s">
        <v>31</v>
      </c>
      <c r="D572" s="7" t="s">
        <v>103</v>
      </c>
      <c r="E572" s="7" t="s">
        <v>25</v>
      </c>
      <c r="F572" s="14">
        <v>712</v>
      </c>
      <c r="G572" s="15">
        <v>206.71</v>
      </c>
      <c r="H572" s="16">
        <v>6.1885230752829951E-2</v>
      </c>
      <c r="I572" s="16">
        <v>3.0154659495180321E-2</v>
      </c>
      <c r="J572" s="15">
        <v>117.45</v>
      </c>
      <c r="K572" s="14">
        <v>527</v>
      </c>
      <c r="L572" s="14">
        <v>193</v>
      </c>
      <c r="M572" s="15">
        <v>36.520000000000003</v>
      </c>
      <c r="N572" s="17">
        <v>147177.51999999999</v>
      </c>
      <c r="O572" s="17">
        <v>9108.1147868292464</v>
      </c>
      <c r="P572" s="17">
        <v>4163.4359009052396</v>
      </c>
      <c r="Q572" s="17">
        <v>133905.96931226549</v>
      </c>
      <c r="R572" s="17">
        <v>83624.400000000009</v>
      </c>
      <c r="S572" s="17">
        <v>50281.569312265543</v>
      </c>
      <c r="T572" s="17">
        <v>7048.3600000000006</v>
      </c>
    </row>
    <row r="573" spans="1:20" x14ac:dyDescent="0.3">
      <c r="A573" s="13">
        <v>45473</v>
      </c>
      <c r="B573" s="7" t="s">
        <v>119</v>
      </c>
      <c r="C573" s="7" t="s">
        <v>31</v>
      </c>
      <c r="D573" s="7" t="s">
        <v>103</v>
      </c>
      <c r="E573" s="7" t="s">
        <v>28</v>
      </c>
      <c r="F573" s="14">
        <v>387</v>
      </c>
      <c r="G573" s="15">
        <v>194.72</v>
      </c>
      <c r="H573" s="16">
        <v>8.3794633574314534E-2</v>
      </c>
      <c r="I573" s="16">
        <v>4.3802363283277697E-2</v>
      </c>
      <c r="J573" s="15">
        <v>115.31</v>
      </c>
      <c r="K573" s="14">
        <v>338</v>
      </c>
      <c r="L573" s="14">
        <v>108</v>
      </c>
      <c r="M573" s="15">
        <v>18.64</v>
      </c>
      <c r="N573" s="17">
        <v>75356.639999999999</v>
      </c>
      <c r="O573" s="17">
        <v>6314.4820361915336</v>
      </c>
      <c r="P573" s="17">
        <v>3024.2096849921832</v>
      </c>
      <c r="Q573" s="17">
        <v>66017.948278816286</v>
      </c>
      <c r="R573" s="17">
        <v>44624.97</v>
      </c>
      <c r="S573" s="17">
        <v>21392.978278816281</v>
      </c>
      <c r="T573" s="17">
        <v>2013.12</v>
      </c>
    </row>
    <row r="574" spans="1:20" x14ac:dyDescent="0.3">
      <c r="A574" s="13">
        <v>45473</v>
      </c>
      <c r="B574" s="7" t="s">
        <v>119</v>
      </c>
      <c r="C574" s="7" t="s">
        <v>31</v>
      </c>
      <c r="D574" s="7" t="s">
        <v>103</v>
      </c>
      <c r="E574" s="7" t="s">
        <v>30</v>
      </c>
      <c r="F574" s="14">
        <v>353</v>
      </c>
      <c r="G574" s="15">
        <v>166.7</v>
      </c>
      <c r="H574" s="16">
        <v>3.8334734462106689E-2</v>
      </c>
      <c r="I574" s="16">
        <v>2.6456369195079401E-2</v>
      </c>
      <c r="J574" s="15">
        <v>118.95</v>
      </c>
      <c r="K574" s="14">
        <v>27</v>
      </c>
      <c r="L574" s="14">
        <v>2</v>
      </c>
      <c r="M574" s="15">
        <v>6.18</v>
      </c>
      <c r="N574" s="17">
        <v>58845.1</v>
      </c>
      <c r="O574" s="17">
        <v>2255.8112828961139</v>
      </c>
      <c r="P574" s="17">
        <v>1497.1471147866409</v>
      </c>
      <c r="Q574" s="17">
        <v>55092.141602317242</v>
      </c>
      <c r="R574" s="17">
        <v>41989.35</v>
      </c>
      <c r="S574" s="17">
        <v>13102.79160231724</v>
      </c>
      <c r="T574" s="17">
        <v>12.36</v>
      </c>
    </row>
    <row r="575" spans="1:20" x14ac:dyDescent="0.3">
      <c r="A575" s="13">
        <v>45473</v>
      </c>
      <c r="B575" s="7" t="s">
        <v>119</v>
      </c>
      <c r="C575" s="7" t="s">
        <v>31</v>
      </c>
      <c r="D575" s="7" t="s">
        <v>104</v>
      </c>
      <c r="E575" s="7" t="s">
        <v>25</v>
      </c>
      <c r="F575" s="14">
        <v>677</v>
      </c>
      <c r="G575" s="15">
        <v>42.78</v>
      </c>
      <c r="H575" s="16">
        <v>5.0170725659141407E-2</v>
      </c>
      <c r="I575" s="16">
        <v>3.7463239224576193E-2</v>
      </c>
      <c r="J575" s="15">
        <v>21.31</v>
      </c>
      <c r="K575" s="14">
        <v>484</v>
      </c>
      <c r="L575" s="14">
        <v>202</v>
      </c>
      <c r="M575" s="15">
        <v>34.82</v>
      </c>
      <c r="N575" s="17">
        <v>28962.06</v>
      </c>
      <c r="O575" s="17">
        <v>1453.0475667835931</v>
      </c>
      <c r="P575" s="17">
        <v>1030.576713617427</v>
      </c>
      <c r="Q575" s="17">
        <v>26478.43571959898</v>
      </c>
      <c r="R575" s="17">
        <v>14426.87</v>
      </c>
      <c r="S575" s="17">
        <v>12051.565719598981</v>
      </c>
      <c r="T575" s="17">
        <v>7033.64</v>
      </c>
    </row>
    <row r="576" spans="1:20" x14ac:dyDescent="0.3">
      <c r="A576" s="13">
        <v>45473</v>
      </c>
      <c r="B576" s="7" t="s">
        <v>119</v>
      </c>
      <c r="C576" s="7" t="s">
        <v>31</v>
      </c>
      <c r="D576" s="7" t="s">
        <v>104</v>
      </c>
      <c r="E576" s="7" t="s">
        <v>28</v>
      </c>
      <c r="F576" s="14">
        <v>362</v>
      </c>
      <c r="G576" s="15">
        <v>36.97</v>
      </c>
      <c r="H576" s="16">
        <v>0.1094662575783255</v>
      </c>
      <c r="I576" s="16">
        <v>5.2314386389849588E-2</v>
      </c>
      <c r="J576" s="15">
        <v>21.57</v>
      </c>
      <c r="K576" s="14">
        <v>292</v>
      </c>
      <c r="L576" s="14">
        <v>88</v>
      </c>
      <c r="M576" s="15">
        <v>17</v>
      </c>
      <c r="N576" s="17">
        <v>13383.14</v>
      </c>
      <c r="O576" s="17">
        <v>1465.0022504467911</v>
      </c>
      <c r="P576" s="17">
        <v>623.49006327757911</v>
      </c>
      <c r="Q576" s="17">
        <v>11294.64768627563</v>
      </c>
      <c r="R576" s="17">
        <v>7808.34</v>
      </c>
      <c r="S576" s="17">
        <v>3486.3076862756302</v>
      </c>
      <c r="T576" s="17">
        <v>1496</v>
      </c>
    </row>
    <row r="577" spans="1:20" x14ac:dyDescent="0.3">
      <c r="A577" s="13">
        <v>45473</v>
      </c>
      <c r="B577" s="7" t="s">
        <v>119</v>
      </c>
      <c r="C577" s="7" t="s">
        <v>31</v>
      </c>
      <c r="D577" s="7" t="s">
        <v>104</v>
      </c>
      <c r="E577" s="7" t="s">
        <v>30</v>
      </c>
      <c r="F577" s="14">
        <v>315</v>
      </c>
      <c r="G577" s="15">
        <v>33.869999999999997</v>
      </c>
      <c r="H577" s="16">
        <v>3.7278181674449913E-2</v>
      </c>
      <c r="I577" s="16">
        <v>2.863113272817816E-2</v>
      </c>
      <c r="J577" s="15">
        <v>20.96</v>
      </c>
      <c r="K577" s="14">
        <v>23</v>
      </c>
      <c r="L577" s="14">
        <v>1</v>
      </c>
      <c r="M577" s="15">
        <v>5.69</v>
      </c>
      <c r="N577" s="17">
        <v>10669.05</v>
      </c>
      <c r="O577" s="17">
        <v>397.72278419378972</v>
      </c>
      <c r="P577" s="17">
        <v>294.07973281029632</v>
      </c>
      <c r="Q577" s="17">
        <v>9977.2474829959137</v>
      </c>
      <c r="R577" s="17">
        <v>6602.4000000000005</v>
      </c>
      <c r="S577" s="17">
        <v>3374.8474829959132</v>
      </c>
      <c r="T577" s="17">
        <v>5.69</v>
      </c>
    </row>
    <row r="578" spans="1:20" x14ac:dyDescent="0.3">
      <c r="A578" s="13">
        <v>45504</v>
      </c>
      <c r="B578" s="7" t="s">
        <v>120</v>
      </c>
      <c r="C578" s="7" t="s">
        <v>24</v>
      </c>
      <c r="D578" s="7" t="s">
        <v>102</v>
      </c>
      <c r="E578" s="7" t="s">
        <v>25</v>
      </c>
      <c r="F578" s="14">
        <v>9833</v>
      </c>
      <c r="G578" s="15">
        <v>129.34</v>
      </c>
      <c r="H578" s="16">
        <v>6.3827891774971002E-2</v>
      </c>
      <c r="I578" s="16">
        <v>2.4550626533232419E-2</v>
      </c>
      <c r="J578" s="15">
        <v>71.099999999999994</v>
      </c>
      <c r="K578" s="14">
        <v>6600</v>
      </c>
      <c r="L578" s="14">
        <v>2398</v>
      </c>
      <c r="M578" s="15">
        <v>34.229999999999997</v>
      </c>
      <c r="N578" s="17">
        <v>1271800.22</v>
      </c>
      <c r="O578" s="17">
        <v>81176.326801544303</v>
      </c>
      <c r="P578" s="17">
        <v>29230.56254345848</v>
      </c>
      <c r="Q578" s="17">
        <v>1161393.3306549969</v>
      </c>
      <c r="R578" s="17">
        <v>699126.29999999993</v>
      </c>
      <c r="S578" s="17">
        <v>462267.03065499722</v>
      </c>
      <c r="T578" s="17">
        <v>82083.539999999994</v>
      </c>
    </row>
    <row r="579" spans="1:20" x14ac:dyDescent="0.3">
      <c r="A579" s="13">
        <v>45504</v>
      </c>
      <c r="B579" s="7" t="s">
        <v>120</v>
      </c>
      <c r="C579" s="7" t="s">
        <v>24</v>
      </c>
      <c r="D579" s="7" t="s">
        <v>102</v>
      </c>
      <c r="E579" s="7" t="s">
        <v>28</v>
      </c>
      <c r="F579" s="14">
        <v>4141</v>
      </c>
      <c r="G579" s="15">
        <v>119.89</v>
      </c>
      <c r="H579" s="16">
        <v>7.3525670685756328E-2</v>
      </c>
      <c r="I579" s="16">
        <v>2.973991802816383E-2</v>
      </c>
      <c r="J579" s="15">
        <v>66.13</v>
      </c>
      <c r="K579" s="14">
        <v>3357</v>
      </c>
      <c r="L579" s="14">
        <v>831</v>
      </c>
      <c r="M579" s="15">
        <v>20.64</v>
      </c>
      <c r="N579" s="17">
        <v>496464.49</v>
      </c>
      <c r="O579" s="17">
        <v>36502.884598911973</v>
      </c>
      <c r="P579" s="17">
        <v>13679.220440730989</v>
      </c>
      <c r="Q579" s="17">
        <v>446282.38496035698</v>
      </c>
      <c r="R579" s="17">
        <v>273844.33</v>
      </c>
      <c r="S579" s="17">
        <v>172438.05496035711</v>
      </c>
      <c r="T579" s="17">
        <v>17151.84</v>
      </c>
    </row>
    <row r="580" spans="1:20" x14ac:dyDescent="0.3">
      <c r="A580" s="13">
        <v>45504</v>
      </c>
      <c r="B580" s="7" t="s">
        <v>120</v>
      </c>
      <c r="C580" s="7" t="s">
        <v>24</v>
      </c>
      <c r="D580" s="7" t="s">
        <v>102</v>
      </c>
      <c r="E580" s="7" t="s">
        <v>30</v>
      </c>
      <c r="F580" s="14">
        <v>2916</v>
      </c>
      <c r="G580" s="15">
        <v>104.88</v>
      </c>
      <c r="H580" s="16">
        <v>4.9697800256331498E-2</v>
      </c>
      <c r="I580" s="16">
        <v>1.3036322639165021E-2</v>
      </c>
      <c r="J580" s="15">
        <v>72.2</v>
      </c>
      <c r="K580" s="14">
        <v>241</v>
      </c>
      <c r="L580" s="14">
        <v>16</v>
      </c>
      <c r="M580" s="15">
        <v>3.54</v>
      </c>
      <c r="N580" s="17">
        <v>305830.08</v>
      </c>
      <c r="O580" s="17">
        <v>15199.08222821788</v>
      </c>
      <c r="P580" s="17">
        <v>3788.7594558954011</v>
      </c>
      <c r="Q580" s="17">
        <v>286842.2383158867</v>
      </c>
      <c r="R580" s="17">
        <v>210535.2</v>
      </c>
      <c r="S580" s="17">
        <v>76307.03831588669</v>
      </c>
      <c r="T580" s="17">
        <v>56.64</v>
      </c>
    </row>
    <row r="581" spans="1:20" x14ac:dyDescent="0.3">
      <c r="A581" s="13">
        <v>45504</v>
      </c>
      <c r="B581" s="7" t="s">
        <v>120</v>
      </c>
      <c r="C581" s="7" t="s">
        <v>24</v>
      </c>
      <c r="D581" s="7" t="s">
        <v>103</v>
      </c>
      <c r="E581" s="7" t="s">
        <v>25</v>
      </c>
      <c r="F581" s="14">
        <v>3418</v>
      </c>
      <c r="G581" s="15">
        <v>231.06</v>
      </c>
      <c r="H581" s="16">
        <v>6.5610664244519237E-2</v>
      </c>
      <c r="I581" s="16">
        <v>4.7034401331388941E-2</v>
      </c>
      <c r="J581" s="15">
        <v>131.91</v>
      </c>
      <c r="K581" s="14">
        <v>2334</v>
      </c>
      <c r="L581" s="14">
        <v>920</v>
      </c>
      <c r="M581" s="15">
        <v>30.18</v>
      </c>
      <c r="N581" s="17">
        <v>789763.08</v>
      </c>
      <c r="O581" s="17">
        <v>51816.880274597381</v>
      </c>
      <c r="P581" s="17">
        <v>34708.857718857878</v>
      </c>
      <c r="Q581" s="17">
        <v>703237.34200654458</v>
      </c>
      <c r="R581" s="17">
        <v>450868.38</v>
      </c>
      <c r="S581" s="17">
        <v>252368.96200654461</v>
      </c>
      <c r="T581" s="17">
        <v>27765.599999999999</v>
      </c>
    </row>
    <row r="582" spans="1:20" x14ac:dyDescent="0.3">
      <c r="A582" s="13">
        <v>45504</v>
      </c>
      <c r="B582" s="7" t="s">
        <v>120</v>
      </c>
      <c r="C582" s="7" t="s">
        <v>24</v>
      </c>
      <c r="D582" s="7" t="s">
        <v>103</v>
      </c>
      <c r="E582" s="7" t="s">
        <v>28</v>
      </c>
      <c r="F582" s="14">
        <v>1367</v>
      </c>
      <c r="G582" s="15">
        <v>224.99</v>
      </c>
      <c r="H582" s="16">
        <v>8.6176556474239357E-2</v>
      </c>
      <c r="I582" s="16">
        <v>5.1516354481890139E-2</v>
      </c>
      <c r="J582" s="15">
        <v>122.15</v>
      </c>
      <c r="K582" s="14">
        <v>1150</v>
      </c>
      <c r="L582" s="14">
        <v>328</v>
      </c>
      <c r="M582" s="15">
        <v>20.329999999999998</v>
      </c>
      <c r="N582" s="17">
        <v>307561.33</v>
      </c>
      <c r="O582" s="17">
        <v>26504.576324037171</v>
      </c>
      <c r="P582" s="17">
        <v>14479.01935190018</v>
      </c>
      <c r="Q582" s="17">
        <v>266577.73432406271</v>
      </c>
      <c r="R582" s="17">
        <v>166979.04999999999</v>
      </c>
      <c r="S582" s="17">
        <v>99598.684324062633</v>
      </c>
      <c r="T582" s="17">
        <v>6668.24</v>
      </c>
    </row>
    <row r="583" spans="1:20" x14ac:dyDescent="0.3">
      <c r="A583" s="13">
        <v>45504</v>
      </c>
      <c r="B583" s="7" t="s">
        <v>120</v>
      </c>
      <c r="C583" s="7" t="s">
        <v>24</v>
      </c>
      <c r="D583" s="7" t="s">
        <v>103</v>
      </c>
      <c r="E583" s="7" t="s">
        <v>30</v>
      </c>
      <c r="F583" s="14">
        <v>1259</v>
      </c>
      <c r="G583" s="15">
        <v>185.21</v>
      </c>
      <c r="H583" s="16">
        <v>4.0213396444197962E-2</v>
      </c>
      <c r="I583" s="16">
        <v>2.3261530758051149E-2</v>
      </c>
      <c r="J583" s="15">
        <v>117.83</v>
      </c>
      <c r="K583" s="14">
        <v>102</v>
      </c>
      <c r="L583" s="14">
        <v>7</v>
      </c>
      <c r="M583" s="15">
        <v>5.43</v>
      </c>
      <c r="N583" s="17">
        <v>233179.39</v>
      </c>
      <c r="O583" s="17">
        <v>9376.9352526862494</v>
      </c>
      <c r="P583" s="17">
        <v>5205.98768483199</v>
      </c>
      <c r="Q583" s="17">
        <v>218596.4670624818</v>
      </c>
      <c r="R583" s="17">
        <v>148347.97</v>
      </c>
      <c r="S583" s="17">
        <v>70248.497062481765</v>
      </c>
      <c r="T583" s="17">
        <v>38.01</v>
      </c>
    </row>
    <row r="584" spans="1:20" x14ac:dyDescent="0.3">
      <c r="A584" s="13">
        <v>45504</v>
      </c>
      <c r="B584" s="7" t="s">
        <v>120</v>
      </c>
      <c r="C584" s="7" t="s">
        <v>24</v>
      </c>
      <c r="D584" s="7" t="s">
        <v>104</v>
      </c>
      <c r="E584" s="7" t="s">
        <v>25</v>
      </c>
      <c r="F584" s="14">
        <v>2356</v>
      </c>
      <c r="G584" s="15">
        <v>48.03</v>
      </c>
      <c r="H584" s="16">
        <v>6.995249759665241E-2</v>
      </c>
      <c r="I584" s="16">
        <v>4.8614365256328063E-2</v>
      </c>
      <c r="J584" s="15">
        <v>22.89</v>
      </c>
      <c r="K584" s="14">
        <v>1678</v>
      </c>
      <c r="L584" s="14">
        <v>601</v>
      </c>
      <c r="M584" s="15">
        <v>30.67</v>
      </c>
      <c r="N584" s="17">
        <v>113158.68</v>
      </c>
      <c r="O584" s="17">
        <v>7915.7322907403604</v>
      </c>
      <c r="P584" s="17">
        <v>5116.3191005905828</v>
      </c>
      <c r="Q584" s="17">
        <v>100126.6286086691</v>
      </c>
      <c r="R584" s="17">
        <v>53928.84</v>
      </c>
      <c r="S584" s="17">
        <v>46197.788608669063</v>
      </c>
      <c r="T584" s="17">
        <v>18432.669999999998</v>
      </c>
    </row>
    <row r="585" spans="1:20" x14ac:dyDescent="0.3">
      <c r="A585" s="13">
        <v>45504</v>
      </c>
      <c r="B585" s="7" t="s">
        <v>120</v>
      </c>
      <c r="C585" s="7" t="s">
        <v>24</v>
      </c>
      <c r="D585" s="7" t="s">
        <v>104</v>
      </c>
      <c r="E585" s="7" t="s">
        <v>28</v>
      </c>
      <c r="F585" s="14">
        <v>1168</v>
      </c>
      <c r="G585" s="15">
        <v>43.23</v>
      </c>
      <c r="H585" s="16">
        <v>9.8982480622943209E-2</v>
      </c>
      <c r="I585" s="16">
        <v>4.805794795220257E-2</v>
      </c>
      <c r="J585" s="15">
        <v>22.07</v>
      </c>
      <c r="K585" s="14">
        <v>1031</v>
      </c>
      <c r="L585" s="14">
        <v>296</v>
      </c>
      <c r="M585" s="15">
        <v>13.32</v>
      </c>
      <c r="N585" s="17">
        <v>50492.639999999999</v>
      </c>
      <c r="O585" s="17">
        <v>4997.8867604012476</v>
      </c>
      <c r="P585" s="17">
        <v>2186.3844832869358</v>
      </c>
      <c r="Q585" s="17">
        <v>43308.368756311807</v>
      </c>
      <c r="R585" s="17">
        <v>25777.759999999998</v>
      </c>
      <c r="S585" s="17">
        <v>17530.608756311809</v>
      </c>
      <c r="T585" s="17">
        <v>3942.72</v>
      </c>
    </row>
    <row r="586" spans="1:20" x14ac:dyDescent="0.3">
      <c r="A586" s="13">
        <v>45504</v>
      </c>
      <c r="B586" s="7" t="s">
        <v>120</v>
      </c>
      <c r="C586" s="7" t="s">
        <v>24</v>
      </c>
      <c r="D586" s="7" t="s">
        <v>104</v>
      </c>
      <c r="E586" s="7" t="s">
        <v>30</v>
      </c>
      <c r="F586" s="14">
        <v>950</v>
      </c>
      <c r="G586" s="15">
        <v>39.630000000000003</v>
      </c>
      <c r="H586" s="16">
        <v>4.3161387541994757E-2</v>
      </c>
      <c r="I586" s="16">
        <v>1.90456389022341E-2</v>
      </c>
      <c r="J586" s="15">
        <v>22.58</v>
      </c>
      <c r="K586" s="14">
        <v>79</v>
      </c>
      <c r="L586" s="14">
        <v>5</v>
      </c>
      <c r="M586" s="15">
        <v>5.46</v>
      </c>
      <c r="N586" s="17">
        <v>37648.5</v>
      </c>
      <c r="O586" s="17">
        <v>1624.9614988747901</v>
      </c>
      <c r="P586" s="17">
        <v>686.09130627315812</v>
      </c>
      <c r="Q586" s="17">
        <v>35337.447194852051</v>
      </c>
      <c r="R586" s="17">
        <v>21451</v>
      </c>
      <c r="S586" s="17">
        <v>13886.44719485205</v>
      </c>
      <c r="T586" s="17">
        <v>27.3</v>
      </c>
    </row>
    <row r="587" spans="1:20" x14ac:dyDescent="0.3">
      <c r="A587" s="13">
        <v>45504</v>
      </c>
      <c r="B587" s="7" t="s">
        <v>120</v>
      </c>
      <c r="C587" s="7" t="s">
        <v>27</v>
      </c>
      <c r="D587" s="7" t="s">
        <v>102</v>
      </c>
      <c r="E587" s="7" t="s">
        <v>25</v>
      </c>
      <c r="F587" s="14">
        <v>6897</v>
      </c>
      <c r="G587" s="15">
        <v>132.59</v>
      </c>
      <c r="H587" s="16">
        <v>4.6993152620289969E-2</v>
      </c>
      <c r="I587" s="16">
        <v>4.6662696720435229E-2</v>
      </c>
      <c r="J587" s="15">
        <v>76.47</v>
      </c>
      <c r="K587" s="14">
        <v>4781</v>
      </c>
      <c r="L587" s="14">
        <v>1766</v>
      </c>
      <c r="M587" s="15">
        <v>35.33</v>
      </c>
      <c r="N587" s="17">
        <v>914473.23</v>
      </c>
      <c r="O587" s="17">
        <v>42973.980064559531</v>
      </c>
      <c r="P587" s="17">
        <v>40666.505191824239</v>
      </c>
      <c r="Q587" s="17">
        <v>830832.7447436162</v>
      </c>
      <c r="R587" s="17">
        <v>527413.59</v>
      </c>
      <c r="S587" s="17">
        <v>303419.15474361618</v>
      </c>
      <c r="T587" s="17">
        <v>62392.78</v>
      </c>
    </row>
    <row r="588" spans="1:20" x14ac:dyDescent="0.3">
      <c r="A588" s="13">
        <v>45504</v>
      </c>
      <c r="B588" s="7" t="s">
        <v>120</v>
      </c>
      <c r="C588" s="7" t="s">
        <v>27</v>
      </c>
      <c r="D588" s="7" t="s">
        <v>102</v>
      </c>
      <c r="E588" s="7" t="s">
        <v>28</v>
      </c>
      <c r="F588" s="14">
        <v>2436</v>
      </c>
      <c r="G588" s="15">
        <v>130.86000000000001</v>
      </c>
      <c r="H588" s="16">
        <v>8.947697091764116E-2</v>
      </c>
      <c r="I588" s="16">
        <v>5.0874738529809928E-2</v>
      </c>
      <c r="J588" s="15">
        <v>76.5</v>
      </c>
      <c r="K588" s="14">
        <v>2144</v>
      </c>
      <c r="L588" s="14">
        <v>625</v>
      </c>
      <c r="M588" s="15">
        <v>19.329999999999998</v>
      </c>
      <c r="N588" s="17">
        <v>318774.96000000002</v>
      </c>
      <c r="O588" s="17">
        <v>28523.01782519223</v>
      </c>
      <c r="P588" s="17">
        <v>14766.491665912859</v>
      </c>
      <c r="Q588" s="17">
        <v>275485.45050889492</v>
      </c>
      <c r="R588" s="17">
        <v>186354</v>
      </c>
      <c r="S588" s="17">
        <v>89131.450508894923</v>
      </c>
      <c r="T588" s="17">
        <v>12081.25</v>
      </c>
    </row>
    <row r="589" spans="1:20" x14ac:dyDescent="0.3">
      <c r="A589" s="13">
        <v>45504</v>
      </c>
      <c r="B589" s="7" t="s">
        <v>120</v>
      </c>
      <c r="C589" s="7" t="s">
        <v>27</v>
      </c>
      <c r="D589" s="7" t="s">
        <v>102</v>
      </c>
      <c r="E589" s="7" t="s">
        <v>30</v>
      </c>
      <c r="F589" s="14">
        <v>2127</v>
      </c>
      <c r="G589" s="15">
        <v>118.15</v>
      </c>
      <c r="H589" s="16">
        <v>4.7105539871177042E-2</v>
      </c>
      <c r="I589" s="16">
        <v>2.3614134474927561E-2</v>
      </c>
      <c r="J589" s="15">
        <v>75.42</v>
      </c>
      <c r="K589" s="14">
        <v>178</v>
      </c>
      <c r="L589" s="14">
        <v>11</v>
      </c>
      <c r="M589" s="15">
        <v>5.91</v>
      </c>
      <c r="N589" s="17">
        <v>251305.05</v>
      </c>
      <c r="O589" s="17">
        <v>11837.860052603141</v>
      </c>
      <c r="P589" s="17">
        <v>5654.8104257508512</v>
      </c>
      <c r="Q589" s="17">
        <v>233812.37952164601</v>
      </c>
      <c r="R589" s="17">
        <v>160418.34</v>
      </c>
      <c r="S589" s="17">
        <v>73394.039521646017</v>
      </c>
      <c r="T589" s="17">
        <v>65.010000000000005</v>
      </c>
    </row>
    <row r="590" spans="1:20" x14ac:dyDescent="0.3">
      <c r="A590" s="13">
        <v>45504</v>
      </c>
      <c r="B590" s="7" t="s">
        <v>120</v>
      </c>
      <c r="C590" s="7" t="s">
        <v>27</v>
      </c>
      <c r="D590" s="7" t="s">
        <v>103</v>
      </c>
      <c r="E590" s="7" t="s">
        <v>25</v>
      </c>
      <c r="F590" s="14">
        <v>2737</v>
      </c>
      <c r="G590" s="15">
        <v>248.76</v>
      </c>
      <c r="H590" s="16">
        <v>3.1466168377097502E-2</v>
      </c>
      <c r="I590" s="16">
        <v>4.2106008392976423E-2</v>
      </c>
      <c r="J590" s="15">
        <v>126.97</v>
      </c>
      <c r="K590" s="14">
        <v>1890</v>
      </c>
      <c r="L590" s="14">
        <v>705</v>
      </c>
      <c r="M590" s="15">
        <v>41.17</v>
      </c>
      <c r="N590" s="17">
        <v>680856.12</v>
      </c>
      <c r="O590" s="17">
        <v>21423.933312497302</v>
      </c>
      <c r="P590" s="17">
        <v>27766.057187262781</v>
      </c>
      <c r="Q590" s="17">
        <v>631666.12950023985</v>
      </c>
      <c r="R590" s="17">
        <v>347516.89</v>
      </c>
      <c r="S590" s="17">
        <v>284149.23950023978</v>
      </c>
      <c r="T590" s="17">
        <v>29024.85</v>
      </c>
    </row>
    <row r="591" spans="1:20" x14ac:dyDescent="0.3">
      <c r="A591" s="13">
        <v>45504</v>
      </c>
      <c r="B591" s="7" t="s">
        <v>120</v>
      </c>
      <c r="C591" s="7" t="s">
        <v>27</v>
      </c>
      <c r="D591" s="7" t="s">
        <v>103</v>
      </c>
      <c r="E591" s="7" t="s">
        <v>28</v>
      </c>
      <c r="F591" s="14">
        <v>1137</v>
      </c>
      <c r="G591" s="15">
        <v>228.18</v>
      </c>
      <c r="H591" s="16">
        <v>9.6391000112118291E-2</v>
      </c>
      <c r="I591" s="16">
        <v>6.4364210465092289E-2</v>
      </c>
      <c r="J591" s="15">
        <v>132.56</v>
      </c>
      <c r="K591" s="14">
        <v>902</v>
      </c>
      <c r="L591" s="14">
        <v>270</v>
      </c>
      <c r="M591" s="15">
        <v>15.44</v>
      </c>
      <c r="N591" s="17">
        <v>259440.66</v>
      </c>
      <c r="O591" s="17">
        <v>25007.744687148039</v>
      </c>
      <c r="P591" s="17">
        <v>15089.08950114156</v>
      </c>
      <c r="Q591" s="17">
        <v>219343.82581171041</v>
      </c>
      <c r="R591" s="17">
        <v>150720.72</v>
      </c>
      <c r="S591" s="17">
        <v>68623.105811710382</v>
      </c>
      <c r="T591" s="17">
        <v>4168.8</v>
      </c>
    </row>
    <row r="592" spans="1:20" x14ac:dyDescent="0.3">
      <c r="A592" s="13">
        <v>45504</v>
      </c>
      <c r="B592" s="7" t="s">
        <v>120</v>
      </c>
      <c r="C592" s="7" t="s">
        <v>27</v>
      </c>
      <c r="D592" s="7" t="s">
        <v>103</v>
      </c>
      <c r="E592" s="7" t="s">
        <v>30</v>
      </c>
      <c r="F592" s="14">
        <v>912</v>
      </c>
      <c r="G592" s="15">
        <v>207.05</v>
      </c>
      <c r="H592" s="16">
        <v>4.2974830126165417E-2</v>
      </c>
      <c r="I592" s="16">
        <v>2.00080951567847E-2</v>
      </c>
      <c r="J592" s="15">
        <v>130.46</v>
      </c>
      <c r="K592" s="14">
        <v>72</v>
      </c>
      <c r="L592" s="14">
        <v>5</v>
      </c>
      <c r="M592" s="15">
        <v>6.44</v>
      </c>
      <c r="N592" s="17">
        <v>188829.6</v>
      </c>
      <c r="O592" s="17">
        <v>8114.9199827917664</v>
      </c>
      <c r="P592" s="17">
        <v>3615.756514012201</v>
      </c>
      <c r="Q592" s="17">
        <v>177098.92350319601</v>
      </c>
      <c r="R592" s="17">
        <v>118979.52</v>
      </c>
      <c r="S592" s="17">
        <v>58119.403503196037</v>
      </c>
      <c r="T592" s="17">
        <v>32.200000000000003</v>
      </c>
    </row>
    <row r="593" spans="1:20" x14ac:dyDescent="0.3">
      <c r="A593" s="13">
        <v>45504</v>
      </c>
      <c r="B593" s="7" t="s">
        <v>120</v>
      </c>
      <c r="C593" s="7" t="s">
        <v>27</v>
      </c>
      <c r="D593" s="7" t="s">
        <v>104</v>
      </c>
      <c r="E593" s="7" t="s">
        <v>25</v>
      </c>
      <c r="F593" s="14">
        <v>1895</v>
      </c>
      <c r="G593" s="15">
        <v>49.88</v>
      </c>
      <c r="H593" s="16">
        <v>6.0880319637839762E-2</v>
      </c>
      <c r="I593" s="16">
        <v>5.1039335467019067E-2</v>
      </c>
      <c r="J593" s="15">
        <v>23.44</v>
      </c>
      <c r="K593" s="14">
        <v>1314</v>
      </c>
      <c r="L593" s="14">
        <v>467</v>
      </c>
      <c r="M593" s="15">
        <v>30.64</v>
      </c>
      <c r="N593" s="17">
        <v>94522.6</v>
      </c>
      <c r="O593" s="17">
        <v>5754.5661009996729</v>
      </c>
      <c r="P593" s="17">
        <v>4530.6614609187991</v>
      </c>
      <c r="Q593" s="17">
        <v>84237.37243808154</v>
      </c>
      <c r="R593" s="17">
        <v>44418.8</v>
      </c>
      <c r="S593" s="17">
        <v>39818.572438081537</v>
      </c>
      <c r="T593" s="17">
        <v>14308.88</v>
      </c>
    </row>
    <row r="594" spans="1:20" x14ac:dyDescent="0.3">
      <c r="A594" s="13">
        <v>45504</v>
      </c>
      <c r="B594" s="7" t="s">
        <v>120</v>
      </c>
      <c r="C594" s="7" t="s">
        <v>27</v>
      </c>
      <c r="D594" s="7" t="s">
        <v>104</v>
      </c>
      <c r="E594" s="7" t="s">
        <v>28</v>
      </c>
      <c r="F594" s="14">
        <v>843</v>
      </c>
      <c r="G594" s="15">
        <v>46.13</v>
      </c>
      <c r="H594" s="16">
        <v>0.1072926842850008</v>
      </c>
      <c r="I594" s="16">
        <v>5.0018665528058087E-2</v>
      </c>
      <c r="J594" s="15">
        <v>24.13</v>
      </c>
      <c r="K594" s="14">
        <v>687</v>
      </c>
      <c r="L594" s="14">
        <v>210</v>
      </c>
      <c r="M594" s="15">
        <v>13.89</v>
      </c>
      <c r="N594" s="17">
        <v>38887.589999999997</v>
      </c>
      <c r="O594" s="17">
        <v>4172.3539164745553</v>
      </c>
      <c r="P594" s="17">
        <v>1736.4097823894331</v>
      </c>
      <c r="Q594" s="17">
        <v>32978.826301136018</v>
      </c>
      <c r="R594" s="17">
        <v>20341.59</v>
      </c>
      <c r="S594" s="17">
        <v>12637.236301136019</v>
      </c>
      <c r="T594" s="17">
        <v>2916.9</v>
      </c>
    </row>
    <row r="595" spans="1:20" x14ac:dyDescent="0.3">
      <c r="A595" s="13">
        <v>45504</v>
      </c>
      <c r="B595" s="7" t="s">
        <v>120</v>
      </c>
      <c r="C595" s="7" t="s">
        <v>27</v>
      </c>
      <c r="D595" s="7" t="s">
        <v>104</v>
      </c>
      <c r="E595" s="7" t="s">
        <v>30</v>
      </c>
      <c r="F595" s="14">
        <v>818</v>
      </c>
      <c r="G595" s="15">
        <v>40.770000000000003</v>
      </c>
      <c r="H595" s="16">
        <v>4.1497289137588461E-2</v>
      </c>
      <c r="I595" s="16">
        <v>1.4084719076328051E-2</v>
      </c>
      <c r="J595" s="15">
        <v>23.44</v>
      </c>
      <c r="K595" s="14">
        <v>70</v>
      </c>
      <c r="L595" s="14">
        <v>4</v>
      </c>
      <c r="M595" s="15">
        <v>5.93</v>
      </c>
      <c r="N595" s="17">
        <v>33349.86</v>
      </c>
      <c r="O595" s="17">
        <v>1383.9287831180959</v>
      </c>
      <c r="P595" s="17">
        <v>450.23116120300699</v>
      </c>
      <c r="Q595" s="17">
        <v>31515.700055678899</v>
      </c>
      <c r="R595" s="17">
        <v>19173.919999999998</v>
      </c>
      <c r="S595" s="17">
        <v>12341.780055678901</v>
      </c>
      <c r="T595" s="17">
        <v>23.72</v>
      </c>
    </row>
    <row r="596" spans="1:20" x14ac:dyDescent="0.3">
      <c r="A596" s="13">
        <v>45504</v>
      </c>
      <c r="B596" s="7" t="s">
        <v>120</v>
      </c>
      <c r="C596" s="7" t="s">
        <v>29</v>
      </c>
      <c r="D596" s="7" t="s">
        <v>102</v>
      </c>
      <c r="E596" s="7" t="s">
        <v>25</v>
      </c>
      <c r="F596" s="14">
        <v>4974</v>
      </c>
      <c r="G596" s="15">
        <v>121.53</v>
      </c>
      <c r="H596" s="16">
        <v>6.0174431139282232E-2</v>
      </c>
      <c r="I596" s="16">
        <v>1.679684401769577E-2</v>
      </c>
      <c r="J596" s="15">
        <v>72.489999999999995</v>
      </c>
      <c r="K596" s="14">
        <v>3432</v>
      </c>
      <c r="L596" s="14">
        <v>1228</v>
      </c>
      <c r="M596" s="15">
        <v>31.86</v>
      </c>
      <c r="N596" s="17">
        <v>604490.22</v>
      </c>
      <c r="O596" s="17">
        <v>36374.855117759558</v>
      </c>
      <c r="P596" s="17">
        <v>9542.5451679833077</v>
      </c>
      <c r="Q596" s="17">
        <v>558572.81971425714</v>
      </c>
      <c r="R596" s="17">
        <v>360565.26</v>
      </c>
      <c r="S596" s="17">
        <v>198007.55971425719</v>
      </c>
      <c r="T596" s="17">
        <v>39124.080000000002</v>
      </c>
    </row>
    <row r="597" spans="1:20" x14ac:dyDescent="0.3">
      <c r="A597" s="13">
        <v>45504</v>
      </c>
      <c r="B597" s="7" t="s">
        <v>120</v>
      </c>
      <c r="C597" s="7" t="s">
        <v>29</v>
      </c>
      <c r="D597" s="7" t="s">
        <v>102</v>
      </c>
      <c r="E597" s="7" t="s">
        <v>28</v>
      </c>
      <c r="F597" s="14">
        <v>2432</v>
      </c>
      <c r="G597" s="15">
        <v>113.21</v>
      </c>
      <c r="H597" s="16">
        <v>9.3936109635206641E-2</v>
      </c>
      <c r="I597" s="16">
        <v>3.4639925585903217E-2</v>
      </c>
      <c r="J597" s="15">
        <v>68.75</v>
      </c>
      <c r="K597" s="14">
        <v>1938</v>
      </c>
      <c r="L597" s="14">
        <v>471</v>
      </c>
      <c r="M597" s="15">
        <v>26.93</v>
      </c>
      <c r="N597" s="17">
        <v>275326.71999999997</v>
      </c>
      <c r="O597" s="17">
        <v>25863.12095542184</v>
      </c>
      <c r="P597" s="17">
        <v>8641.4005072957843</v>
      </c>
      <c r="Q597" s="17">
        <v>240822.19853728241</v>
      </c>
      <c r="R597" s="17">
        <v>167200</v>
      </c>
      <c r="S597" s="17">
        <v>73622.198537282355</v>
      </c>
      <c r="T597" s="17">
        <v>12684.03</v>
      </c>
    </row>
    <row r="598" spans="1:20" x14ac:dyDescent="0.3">
      <c r="A598" s="13">
        <v>45504</v>
      </c>
      <c r="B598" s="7" t="s">
        <v>120</v>
      </c>
      <c r="C598" s="7" t="s">
        <v>29</v>
      </c>
      <c r="D598" s="7" t="s">
        <v>102</v>
      </c>
      <c r="E598" s="7" t="s">
        <v>30</v>
      </c>
      <c r="F598" s="14">
        <v>1483</v>
      </c>
      <c r="G598" s="15">
        <v>92.94</v>
      </c>
      <c r="H598" s="16">
        <v>3.8978450519224571E-2</v>
      </c>
      <c r="I598" s="16">
        <v>1.8671977198569469E-2</v>
      </c>
      <c r="J598" s="15">
        <v>69.98</v>
      </c>
      <c r="K598" s="14">
        <v>127</v>
      </c>
      <c r="L598" s="14">
        <v>7</v>
      </c>
      <c r="M598" s="15">
        <v>4.9000000000000004</v>
      </c>
      <c r="N598" s="17">
        <v>137830.01999999999</v>
      </c>
      <c r="O598" s="17">
        <v>5372.4006146337324</v>
      </c>
      <c r="P598" s="17">
        <v>2473.245648940353</v>
      </c>
      <c r="Q598" s="17">
        <v>129984.3737364259</v>
      </c>
      <c r="R598" s="17">
        <v>103780.34</v>
      </c>
      <c r="S598" s="17">
        <v>26204.033736425899</v>
      </c>
      <c r="T598" s="17">
        <v>34.299999999999997</v>
      </c>
    </row>
    <row r="599" spans="1:20" x14ac:dyDescent="0.3">
      <c r="A599" s="13">
        <v>45504</v>
      </c>
      <c r="B599" s="7" t="s">
        <v>120</v>
      </c>
      <c r="C599" s="7" t="s">
        <v>29</v>
      </c>
      <c r="D599" s="7" t="s">
        <v>103</v>
      </c>
      <c r="E599" s="7" t="s">
        <v>25</v>
      </c>
      <c r="F599" s="14">
        <v>2054</v>
      </c>
      <c r="G599" s="15">
        <v>221.93</v>
      </c>
      <c r="H599" s="16">
        <v>4.2455654202098188E-2</v>
      </c>
      <c r="I599" s="16">
        <v>1.9496425427158001E-2</v>
      </c>
      <c r="J599" s="15">
        <v>124.11</v>
      </c>
      <c r="K599" s="14">
        <v>1408</v>
      </c>
      <c r="L599" s="14">
        <v>494</v>
      </c>
      <c r="M599" s="15">
        <v>34.92</v>
      </c>
      <c r="N599" s="17">
        <v>455844.22</v>
      </c>
      <c r="O599" s="17">
        <v>19353.16457434517</v>
      </c>
      <c r="P599" s="17">
        <v>8510.0153117277678</v>
      </c>
      <c r="Q599" s="17">
        <v>427981.0401139271</v>
      </c>
      <c r="R599" s="17">
        <v>254921.94</v>
      </c>
      <c r="S599" s="17">
        <v>173059.1001139271</v>
      </c>
      <c r="T599" s="17">
        <v>17250.48</v>
      </c>
    </row>
    <row r="600" spans="1:20" x14ac:dyDescent="0.3">
      <c r="A600" s="13">
        <v>45504</v>
      </c>
      <c r="B600" s="7" t="s">
        <v>120</v>
      </c>
      <c r="C600" s="7" t="s">
        <v>29</v>
      </c>
      <c r="D600" s="7" t="s">
        <v>103</v>
      </c>
      <c r="E600" s="7" t="s">
        <v>28</v>
      </c>
      <c r="F600" s="14">
        <v>881</v>
      </c>
      <c r="G600" s="15">
        <v>204.75</v>
      </c>
      <c r="H600" s="16">
        <v>6.8455431424249466E-2</v>
      </c>
      <c r="I600" s="16">
        <v>4.8914570129651502E-2</v>
      </c>
      <c r="J600" s="15">
        <v>123.8</v>
      </c>
      <c r="K600" s="14">
        <v>693</v>
      </c>
      <c r="L600" s="14">
        <v>199</v>
      </c>
      <c r="M600" s="15">
        <v>22.62</v>
      </c>
      <c r="N600" s="17">
        <v>180384.75</v>
      </c>
      <c r="O600" s="17">
        <v>12348.315883605381</v>
      </c>
      <c r="P600" s="17">
        <v>8219.4299409229479</v>
      </c>
      <c r="Q600" s="17">
        <v>159817.00417547169</v>
      </c>
      <c r="R600" s="17">
        <v>109067.8</v>
      </c>
      <c r="S600" s="17">
        <v>50749.204175471663</v>
      </c>
      <c r="T600" s="17">
        <v>4501.38</v>
      </c>
    </row>
    <row r="601" spans="1:20" x14ac:dyDescent="0.3">
      <c r="A601" s="13">
        <v>45504</v>
      </c>
      <c r="B601" s="7" t="s">
        <v>120</v>
      </c>
      <c r="C601" s="7" t="s">
        <v>29</v>
      </c>
      <c r="D601" s="7" t="s">
        <v>103</v>
      </c>
      <c r="E601" s="7" t="s">
        <v>30</v>
      </c>
      <c r="F601" s="14">
        <v>661</v>
      </c>
      <c r="G601" s="15">
        <v>182.76</v>
      </c>
      <c r="H601" s="16">
        <v>3.5176309511635119E-2</v>
      </c>
      <c r="I601" s="16">
        <v>2.153672808353985E-2</v>
      </c>
      <c r="J601" s="15">
        <v>120.52</v>
      </c>
      <c r="K601" s="14">
        <v>57</v>
      </c>
      <c r="L601" s="14">
        <v>3</v>
      </c>
      <c r="M601" s="15">
        <v>6.19</v>
      </c>
      <c r="N601" s="17">
        <v>120804.36</v>
      </c>
      <c r="O601" s="17">
        <v>4249.4515577149932</v>
      </c>
      <c r="P601" s="17">
        <v>2510.211369923376</v>
      </c>
      <c r="Q601" s="17">
        <v>114044.6970723616</v>
      </c>
      <c r="R601" s="17">
        <v>79663.72</v>
      </c>
      <c r="S601" s="17">
        <v>34380.977072361638</v>
      </c>
      <c r="T601" s="17">
        <v>18.57</v>
      </c>
    </row>
    <row r="602" spans="1:20" x14ac:dyDescent="0.3">
      <c r="A602" s="13">
        <v>45504</v>
      </c>
      <c r="B602" s="7" t="s">
        <v>120</v>
      </c>
      <c r="C602" s="7" t="s">
        <v>29</v>
      </c>
      <c r="D602" s="7" t="s">
        <v>104</v>
      </c>
      <c r="E602" s="7" t="s">
        <v>25</v>
      </c>
      <c r="F602" s="14">
        <v>1339</v>
      </c>
      <c r="G602" s="15">
        <v>44.67</v>
      </c>
      <c r="H602" s="16">
        <v>5.8345314961567113E-2</v>
      </c>
      <c r="I602" s="16">
        <v>3.1543268955058872E-2</v>
      </c>
      <c r="J602" s="15">
        <v>22.25</v>
      </c>
      <c r="K602" s="14">
        <v>947</v>
      </c>
      <c r="L602" s="14">
        <v>354</v>
      </c>
      <c r="M602" s="15">
        <v>31.64</v>
      </c>
      <c r="N602" s="17">
        <v>59813.13</v>
      </c>
      <c r="O602" s="17">
        <v>3489.8159086871592</v>
      </c>
      <c r="P602" s="17">
        <v>1776.621444822538</v>
      </c>
      <c r="Q602" s="17">
        <v>54546.692646490308</v>
      </c>
      <c r="R602" s="17">
        <v>29792.75</v>
      </c>
      <c r="S602" s="17">
        <v>24753.942646490312</v>
      </c>
      <c r="T602" s="17">
        <v>11200.56</v>
      </c>
    </row>
    <row r="603" spans="1:20" x14ac:dyDescent="0.3">
      <c r="A603" s="13">
        <v>45504</v>
      </c>
      <c r="B603" s="7" t="s">
        <v>120</v>
      </c>
      <c r="C603" s="7" t="s">
        <v>29</v>
      </c>
      <c r="D603" s="7" t="s">
        <v>104</v>
      </c>
      <c r="E603" s="7" t="s">
        <v>28</v>
      </c>
      <c r="F603" s="14">
        <v>744</v>
      </c>
      <c r="G603" s="15">
        <v>43.13</v>
      </c>
      <c r="H603" s="16">
        <v>7.5816585155324689E-2</v>
      </c>
      <c r="I603" s="16">
        <v>7.3031587508861573E-2</v>
      </c>
      <c r="J603" s="15">
        <v>21.47</v>
      </c>
      <c r="K603" s="14">
        <v>622</v>
      </c>
      <c r="L603" s="14">
        <v>196</v>
      </c>
      <c r="M603" s="15">
        <v>19.899999999999999</v>
      </c>
      <c r="N603" s="17">
        <v>32088.720000000001</v>
      </c>
      <c r="O603" s="17">
        <v>2432.85717240537</v>
      </c>
      <c r="P603" s="17">
        <v>2165.8147412442722</v>
      </c>
      <c r="Q603" s="17">
        <v>27490.048086350362</v>
      </c>
      <c r="R603" s="17">
        <v>15973.68</v>
      </c>
      <c r="S603" s="17">
        <v>11516.36808635036</v>
      </c>
      <c r="T603" s="17">
        <v>3900.4</v>
      </c>
    </row>
    <row r="604" spans="1:20" x14ac:dyDescent="0.3">
      <c r="A604" s="13">
        <v>45504</v>
      </c>
      <c r="B604" s="7" t="s">
        <v>120</v>
      </c>
      <c r="C604" s="7" t="s">
        <v>29</v>
      </c>
      <c r="D604" s="7" t="s">
        <v>104</v>
      </c>
      <c r="E604" s="7" t="s">
        <v>30</v>
      </c>
      <c r="F604" s="14">
        <v>637</v>
      </c>
      <c r="G604" s="15">
        <v>36.35</v>
      </c>
      <c r="H604" s="16">
        <v>3.5447408452387752E-2</v>
      </c>
      <c r="I604" s="16">
        <v>2.675426165349503E-2</v>
      </c>
      <c r="J604" s="15">
        <v>21.82</v>
      </c>
      <c r="K604" s="14">
        <v>49</v>
      </c>
      <c r="L604" s="14">
        <v>3</v>
      </c>
      <c r="M604" s="15">
        <v>4.2699999999999996</v>
      </c>
      <c r="N604" s="17">
        <v>23154.95</v>
      </c>
      <c r="O604" s="17">
        <v>820.78297034461582</v>
      </c>
      <c r="P604" s="17">
        <v>597.53414852426204</v>
      </c>
      <c r="Q604" s="17">
        <v>21736.632881131129</v>
      </c>
      <c r="R604" s="17">
        <v>13899.34</v>
      </c>
      <c r="S604" s="17">
        <v>7837.2928811311249</v>
      </c>
      <c r="T604" s="17">
        <v>12.81</v>
      </c>
    </row>
    <row r="605" spans="1:20" x14ac:dyDescent="0.3">
      <c r="A605" s="13">
        <v>45504</v>
      </c>
      <c r="B605" s="7" t="s">
        <v>120</v>
      </c>
      <c r="C605" s="7" t="s">
        <v>31</v>
      </c>
      <c r="D605" s="7" t="s">
        <v>102</v>
      </c>
      <c r="E605" s="7" t="s">
        <v>25</v>
      </c>
      <c r="F605" s="14">
        <v>1986</v>
      </c>
      <c r="G605" s="15">
        <v>114.01</v>
      </c>
      <c r="H605" s="16">
        <v>6.4778780957676807E-2</v>
      </c>
      <c r="I605" s="16">
        <v>1.8217886802685698E-2</v>
      </c>
      <c r="J605" s="15">
        <v>67.569999999999993</v>
      </c>
      <c r="K605" s="14">
        <v>1407</v>
      </c>
      <c r="L605" s="14">
        <v>530</v>
      </c>
      <c r="M605" s="15">
        <v>28.76</v>
      </c>
      <c r="N605" s="17">
        <v>226423.86</v>
      </c>
      <c r="O605" s="17">
        <v>14667.461630531679</v>
      </c>
      <c r="P605" s="17">
        <v>3857.754095239392</v>
      </c>
      <c r="Q605" s="17">
        <v>207898.64427422901</v>
      </c>
      <c r="R605" s="17">
        <v>134194.01999999999</v>
      </c>
      <c r="S605" s="17">
        <v>73704.624274228961</v>
      </c>
      <c r="T605" s="17">
        <v>15242.8</v>
      </c>
    </row>
    <row r="606" spans="1:20" x14ac:dyDescent="0.3">
      <c r="A606" s="13">
        <v>45504</v>
      </c>
      <c r="B606" s="7" t="s">
        <v>120</v>
      </c>
      <c r="C606" s="7" t="s">
        <v>31</v>
      </c>
      <c r="D606" s="7" t="s">
        <v>102</v>
      </c>
      <c r="E606" s="7" t="s">
        <v>28</v>
      </c>
      <c r="F606" s="14">
        <v>971</v>
      </c>
      <c r="G606" s="15">
        <v>105.52</v>
      </c>
      <c r="H606" s="16">
        <v>9.2009836852888841E-2</v>
      </c>
      <c r="I606" s="16">
        <v>7.7723515746287192E-2</v>
      </c>
      <c r="J606" s="15">
        <v>73.489999999999995</v>
      </c>
      <c r="K606" s="14">
        <v>724</v>
      </c>
      <c r="L606" s="14">
        <v>250</v>
      </c>
      <c r="M606" s="15">
        <v>20.82</v>
      </c>
      <c r="N606" s="17">
        <v>102459.92</v>
      </c>
      <c r="O606" s="17">
        <v>9427.3205231600423</v>
      </c>
      <c r="P606" s="17">
        <v>7230.8207103561999</v>
      </c>
      <c r="Q606" s="17">
        <v>85801.778766483752</v>
      </c>
      <c r="R606" s="17">
        <v>71358.789999999994</v>
      </c>
      <c r="S606" s="17">
        <v>14442.988766483761</v>
      </c>
      <c r="T606" s="17">
        <v>5205</v>
      </c>
    </row>
    <row r="607" spans="1:20" x14ac:dyDescent="0.3">
      <c r="A607" s="13">
        <v>45504</v>
      </c>
      <c r="B607" s="7" t="s">
        <v>120</v>
      </c>
      <c r="C607" s="7" t="s">
        <v>31</v>
      </c>
      <c r="D607" s="7" t="s">
        <v>102</v>
      </c>
      <c r="E607" s="7" t="s">
        <v>30</v>
      </c>
      <c r="F607" s="14">
        <v>845</v>
      </c>
      <c r="G607" s="15">
        <v>89.76</v>
      </c>
      <c r="H607" s="16">
        <v>3.5043328049712753E-2</v>
      </c>
      <c r="I607" s="16">
        <v>1.6564929501502519E-2</v>
      </c>
      <c r="J607" s="15">
        <v>65.88</v>
      </c>
      <c r="K607" s="14">
        <v>71</v>
      </c>
      <c r="L607" s="14">
        <v>4</v>
      </c>
      <c r="M607" s="15">
        <v>4.93</v>
      </c>
      <c r="N607" s="17">
        <v>75847.199999999997</v>
      </c>
      <c r="O607" s="17">
        <v>2657.9383112521718</v>
      </c>
      <c r="P607" s="17">
        <v>1212.3749601411271</v>
      </c>
      <c r="Q607" s="17">
        <v>71976.886728606696</v>
      </c>
      <c r="R607" s="17">
        <v>55668.6</v>
      </c>
      <c r="S607" s="17">
        <v>16308.286728606699</v>
      </c>
      <c r="T607" s="17">
        <v>19.72</v>
      </c>
    </row>
    <row r="608" spans="1:20" x14ac:dyDescent="0.3">
      <c r="A608" s="13">
        <v>45504</v>
      </c>
      <c r="B608" s="7" t="s">
        <v>120</v>
      </c>
      <c r="C608" s="7" t="s">
        <v>31</v>
      </c>
      <c r="D608" s="7" t="s">
        <v>103</v>
      </c>
      <c r="E608" s="7" t="s">
        <v>25</v>
      </c>
      <c r="F608" s="14">
        <v>657</v>
      </c>
      <c r="G608" s="15">
        <v>203.85</v>
      </c>
      <c r="H608" s="16">
        <v>5.5300815869820073E-2</v>
      </c>
      <c r="I608" s="16">
        <v>7.076860370180503E-2</v>
      </c>
      <c r="J608" s="15">
        <v>122.51</v>
      </c>
      <c r="K608" s="14">
        <v>457</v>
      </c>
      <c r="L608" s="14">
        <v>173</v>
      </c>
      <c r="M608" s="15">
        <v>24.83</v>
      </c>
      <c r="N608" s="17">
        <v>133929.45000000001</v>
      </c>
      <c r="O608" s="17">
        <v>7406.407853996272</v>
      </c>
      <c r="P608" s="17">
        <v>8953.8590287773131</v>
      </c>
      <c r="Q608" s="17">
        <v>117569.18311722641</v>
      </c>
      <c r="R608" s="17">
        <v>80489.070000000007</v>
      </c>
      <c r="S608" s="17">
        <v>37080.113117226399</v>
      </c>
      <c r="T608" s="17">
        <v>4295.59</v>
      </c>
    </row>
    <row r="609" spans="1:20" x14ac:dyDescent="0.3">
      <c r="A609" s="13">
        <v>45504</v>
      </c>
      <c r="B609" s="7" t="s">
        <v>120</v>
      </c>
      <c r="C609" s="7" t="s">
        <v>31</v>
      </c>
      <c r="D609" s="7" t="s">
        <v>103</v>
      </c>
      <c r="E609" s="7" t="s">
        <v>28</v>
      </c>
      <c r="F609" s="14">
        <v>422</v>
      </c>
      <c r="G609" s="15">
        <v>184.52</v>
      </c>
      <c r="H609" s="16">
        <v>9.5834925325249926E-2</v>
      </c>
      <c r="I609" s="16">
        <v>4.9779296473956389E-2</v>
      </c>
      <c r="J609" s="15">
        <v>121.12</v>
      </c>
      <c r="K609" s="14">
        <v>343</v>
      </c>
      <c r="L609" s="14">
        <v>97</v>
      </c>
      <c r="M609" s="15">
        <v>21.22</v>
      </c>
      <c r="N609" s="17">
        <v>77867.44</v>
      </c>
      <c r="O609" s="17">
        <v>7462.4202976683791</v>
      </c>
      <c r="P609" s="17">
        <v>3504.712349017107</v>
      </c>
      <c r="Q609" s="17">
        <v>66900.307353314522</v>
      </c>
      <c r="R609" s="17">
        <v>51112.639999999999</v>
      </c>
      <c r="S609" s="17">
        <v>15787.66735331452</v>
      </c>
      <c r="T609" s="17">
        <v>2058.34</v>
      </c>
    </row>
    <row r="610" spans="1:20" x14ac:dyDescent="0.3">
      <c r="A610" s="13">
        <v>45504</v>
      </c>
      <c r="B610" s="7" t="s">
        <v>120</v>
      </c>
      <c r="C610" s="7" t="s">
        <v>31</v>
      </c>
      <c r="D610" s="7" t="s">
        <v>103</v>
      </c>
      <c r="E610" s="7" t="s">
        <v>30</v>
      </c>
      <c r="F610" s="14">
        <v>415</v>
      </c>
      <c r="G610" s="15">
        <v>169.18</v>
      </c>
      <c r="H610" s="16">
        <v>3.7154930949376212E-2</v>
      </c>
      <c r="I610" s="16">
        <v>1.6141140213035629E-2</v>
      </c>
      <c r="J610" s="15">
        <v>123.39</v>
      </c>
      <c r="K610" s="14">
        <v>33</v>
      </c>
      <c r="L610" s="14">
        <v>2</v>
      </c>
      <c r="M610" s="15">
        <v>5.2</v>
      </c>
      <c r="N610" s="17">
        <v>70209.7</v>
      </c>
      <c r="O610" s="17">
        <v>2608.6365554764188</v>
      </c>
      <c r="P610" s="17">
        <v>1091.158243608372</v>
      </c>
      <c r="Q610" s="17">
        <v>66509.905200915207</v>
      </c>
      <c r="R610" s="17">
        <v>51206.85</v>
      </c>
      <c r="S610" s="17">
        <v>15303.055200915211</v>
      </c>
      <c r="T610" s="17">
        <v>10.4</v>
      </c>
    </row>
    <row r="611" spans="1:20" x14ac:dyDescent="0.3">
      <c r="A611" s="13">
        <v>45504</v>
      </c>
      <c r="B611" s="7" t="s">
        <v>120</v>
      </c>
      <c r="C611" s="7" t="s">
        <v>31</v>
      </c>
      <c r="D611" s="7" t="s">
        <v>104</v>
      </c>
      <c r="E611" s="7" t="s">
        <v>25</v>
      </c>
      <c r="F611" s="14">
        <v>799</v>
      </c>
      <c r="G611" s="15">
        <v>40.950000000000003</v>
      </c>
      <c r="H611" s="16">
        <v>5.8883807513490018E-2</v>
      </c>
      <c r="I611" s="16">
        <v>2.9357799931826509E-2</v>
      </c>
      <c r="J611" s="15">
        <v>21.57</v>
      </c>
      <c r="K611" s="14">
        <v>533</v>
      </c>
      <c r="L611" s="14">
        <v>188</v>
      </c>
      <c r="M611" s="15">
        <v>22.27</v>
      </c>
      <c r="N611" s="17">
        <v>32719.05</v>
      </c>
      <c r="O611" s="17">
        <v>1926.6222422242561</v>
      </c>
      <c r="P611" s="17">
        <v>903.99793352800145</v>
      </c>
      <c r="Q611" s="17">
        <v>29888.429824247749</v>
      </c>
      <c r="R611" s="17">
        <v>17234.43</v>
      </c>
      <c r="S611" s="17">
        <v>12653.99982424774</v>
      </c>
      <c r="T611" s="17">
        <v>4186.76</v>
      </c>
    </row>
    <row r="612" spans="1:20" x14ac:dyDescent="0.3">
      <c r="A612" s="13">
        <v>45504</v>
      </c>
      <c r="B612" s="7" t="s">
        <v>120</v>
      </c>
      <c r="C612" s="7" t="s">
        <v>31</v>
      </c>
      <c r="D612" s="7" t="s">
        <v>104</v>
      </c>
      <c r="E612" s="7" t="s">
        <v>28</v>
      </c>
      <c r="F612" s="14">
        <v>265</v>
      </c>
      <c r="G612" s="15">
        <v>38.67</v>
      </c>
      <c r="H612" s="16">
        <v>7.6260181827461124E-2</v>
      </c>
      <c r="I612" s="16">
        <v>4.4588946727109828E-2</v>
      </c>
      <c r="J612" s="15">
        <v>21.34</v>
      </c>
      <c r="K612" s="14">
        <v>227</v>
      </c>
      <c r="L612" s="14">
        <v>71</v>
      </c>
      <c r="M612" s="15">
        <v>20.09</v>
      </c>
      <c r="N612" s="17">
        <v>10247.549999999999</v>
      </c>
      <c r="O612" s="17">
        <v>781.48002628599932</v>
      </c>
      <c r="P612" s="17">
        <v>422.08208977302758</v>
      </c>
      <c r="Q612" s="17">
        <v>9043.9878839409739</v>
      </c>
      <c r="R612" s="17">
        <v>5655.1</v>
      </c>
      <c r="S612" s="17">
        <v>3388.887883940974</v>
      </c>
      <c r="T612" s="17">
        <v>1426.39</v>
      </c>
    </row>
    <row r="613" spans="1:20" x14ac:dyDescent="0.3">
      <c r="A613" s="13">
        <v>45504</v>
      </c>
      <c r="B613" s="7" t="s">
        <v>120</v>
      </c>
      <c r="C613" s="7" t="s">
        <v>31</v>
      </c>
      <c r="D613" s="7" t="s">
        <v>104</v>
      </c>
      <c r="E613" s="7" t="s">
        <v>30</v>
      </c>
      <c r="F613" s="14">
        <v>306</v>
      </c>
      <c r="G613" s="15">
        <v>34.29</v>
      </c>
      <c r="H613" s="16">
        <v>3.5058790176244907E-2</v>
      </c>
      <c r="I613" s="16">
        <v>1.7408736805693992E-2</v>
      </c>
      <c r="J613" s="15">
        <v>22.44</v>
      </c>
      <c r="K613" s="14">
        <v>25</v>
      </c>
      <c r="L613" s="14">
        <v>1</v>
      </c>
      <c r="M613" s="15">
        <v>5.74</v>
      </c>
      <c r="N613" s="17">
        <v>10492.74</v>
      </c>
      <c r="O613" s="17">
        <v>367.86277003389199</v>
      </c>
      <c r="P613" s="17">
        <v>176.26132288644399</v>
      </c>
      <c r="Q613" s="17">
        <v>9948.6159070796639</v>
      </c>
      <c r="R613" s="17">
        <v>6866.64</v>
      </c>
      <c r="S613" s="17">
        <v>3081.975907079664</v>
      </c>
      <c r="T613" s="17">
        <v>5.74</v>
      </c>
    </row>
    <row r="614" spans="1:20" x14ac:dyDescent="0.3">
      <c r="A614" s="13">
        <v>45535</v>
      </c>
      <c r="B614" s="7" t="s">
        <v>121</v>
      </c>
      <c r="C614" s="7" t="s">
        <v>24</v>
      </c>
      <c r="D614" s="7" t="s">
        <v>102</v>
      </c>
      <c r="E614" s="7" t="s">
        <v>25</v>
      </c>
      <c r="F614" s="14">
        <v>6201</v>
      </c>
      <c r="G614" s="15">
        <v>125.08</v>
      </c>
      <c r="H614" s="16">
        <v>7.2160026809880443E-2</v>
      </c>
      <c r="I614" s="16">
        <v>5.2927452895182067E-2</v>
      </c>
      <c r="J614" s="15">
        <v>76.03</v>
      </c>
      <c r="K614" s="14">
        <v>4313</v>
      </c>
      <c r="L614" s="14">
        <v>1743</v>
      </c>
      <c r="M614" s="15">
        <v>33.76</v>
      </c>
      <c r="N614" s="17">
        <v>775621.08</v>
      </c>
      <c r="O614" s="17">
        <v>55968.83792710842</v>
      </c>
      <c r="P614" s="17">
        <v>38089.360143225131</v>
      </c>
      <c r="Q614" s="17">
        <v>681562.88192966639</v>
      </c>
      <c r="R614" s="17">
        <v>471462.03</v>
      </c>
      <c r="S614" s="17">
        <v>210100.85192966639</v>
      </c>
      <c r="T614" s="17">
        <v>58843.679999999993</v>
      </c>
    </row>
    <row r="615" spans="1:20" x14ac:dyDescent="0.3">
      <c r="A615" s="13">
        <v>45535</v>
      </c>
      <c r="B615" s="7" t="s">
        <v>121</v>
      </c>
      <c r="C615" s="7" t="s">
        <v>24</v>
      </c>
      <c r="D615" s="7" t="s">
        <v>102</v>
      </c>
      <c r="E615" s="7" t="s">
        <v>28</v>
      </c>
      <c r="F615" s="14">
        <v>3939</v>
      </c>
      <c r="G615" s="15">
        <v>117.21</v>
      </c>
      <c r="H615" s="16">
        <v>8.3944671706873877E-2</v>
      </c>
      <c r="I615" s="16">
        <v>6.3578324306606079E-2</v>
      </c>
      <c r="J615" s="15">
        <v>69.61</v>
      </c>
      <c r="K615" s="14">
        <v>3468</v>
      </c>
      <c r="L615" s="14">
        <v>1068</v>
      </c>
      <c r="M615" s="15">
        <v>17.54</v>
      </c>
      <c r="N615" s="17">
        <v>461690.19</v>
      </c>
      <c r="O615" s="17">
        <v>38756.431429834221</v>
      </c>
      <c r="P615" s="17">
        <v>26889.419662585839</v>
      </c>
      <c r="Q615" s="17">
        <v>396044.33890757989</v>
      </c>
      <c r="R615" s="17">
        <v>274193.78999999998</v>
      </c>
      <c r="S615" s="17">
        <v>121850.54890758</v>
      </c>
      <c r="T615" s="17">
        <v>18732.72</v>
      </c>
    </row>
    <row r="616" spans="1:20" x14ac:dyDescent="0.3">
      <c r="A616" s="13">
        <v>45535</v>
      </c>
      <c r="B616" s="7" t="s">
        <v>121</v>
      </c>
      <c r="C616" s="7" t="s">
        <v>24</v>
      </c>
      <c r="D616" s="7" t="s">
        <v>102</v>
      </c>
      <c r="E616" s="7" t="s">
        <v>30</v>
      </c>
      <c r="F616" s="14">
        <v>3454</v>
      </c>
      <c r="G616" s="15">
        <v>106.45</v>
      </c>
      <c r="H616" s="16">
        <v>3.7241412305017152E-2</v>
      </c>
      <c r="I616" s="16">
        <v>2.271695413935905E-2</v>
      </c>
      <c r="J616" s="15">
        <v>72.430000000000007</v>
      </c>
      <c r="K616" s="14">
        <v>263</v>
      </c>
      <c r="L616" s="14">
        <v>17</v>
      </c>
      <c r="M616" s="15">
        <v>6.11</v>
      </c>
      <c r="N616" s="17">
        <v>367678.3</v>
      </c>
      <c r="O616" s="17">
        <v>13692.859165907779</v>
      </c>
      <c r="P616" s="17">
        <v>8041.4710254288693</v>
      </c>
      <c r="Q616" s="17">
        <v>345943.96980866342</v>
      </c>
      <c r="R616" s="17">
        <v>250173.22</v>
      </c>
      <c r="S616" s="17">
        <v>95770.749808663328</v>
      </c>
      <c r="T616" s="17">
        <v>103.87</v>
      </c>
    </row>
    <row r="617" spans="1:20" x14ac:dyDescent="0.3">
      <c r="A617" s="13">
        <v>45535</v>
      </c>
      <c r="B617" s="7" t="s">
        <v>121</v>
      </c>
      <c r="C617" s="7" t="s">
        <v>24</v>
      </c>
      <c r="D617" s="7" t="s">
        <v>103</v>
      </c>
      <c r="E617" s="7" t="s">
        <v>25</v>
      </c>
      <c r="F617" s="14">
        <v>4229</v>
      </c>
      <c r="G617" s="15">
        <v>230.3</v>
      </c>
      <c r="H617" s="16">
        <v>6.0745493134662903E-2</v>
      </c>
      <c r="I617" s="16">
        <v>3.2718280990301843E-2</v>
      </c>
      <c r="J617" s="15">
        <v>130.66</v>
      </c>
      <c r="K617" s="14">
        <v>2753</v>
      </c>
      <c r="L617" s="14">
        <v>1083</v>
      </c>
      <c r="M617" s="15">
        <v>37.99</v>
      </c>
      <c r="N617" s="17">
        <v>973938.70000000007</v>
      </c>
      <c r="O617" s="17">
        <v>59162.386614432507</v>
      </c>
      <c r="P617" s="17">
        <v>29929.908464621411</v>
      </c>
      <c r="Q617" s="17">
        <v>884846.40492094611</v>
      </c>
      <c r="R617" s="17">
        <v>552561.14</v>
      </c>
      <c r="S617" s="17">
        <v>332285.26492094609</v>
      </c>
      <c r="T617" s="17">
        <v>41143.170000000013</v>
      </c>
    </row>
    <row r="618" spans="1:20" x14ac:dyDescent="0.3">
      <c r="A618" s="13">
        <v>45535</v>
      </c>
      <c r="B618" s="7" t="s">
        <v>121</v>
      </c>
      <c r="C618" s="7" t="s">
        <v>24</v>
      </c>
      <c r="D618" s="7" t="s">
        <v>103</v>
      </c>
      <c r="E618" s="7" t="s">
        <v>28</v>
      </c>
      <c r="F618" s="14">
        <v>1410</v>
      </c>
      <c r="G618" s="15">
        <v>219.97</v>
      </c>
      <c r="H618" s="16">
        <v>9.3242778893274009E-2</v>
      </c>
      <c r="I618" s="16">
        <v>7.8796992371523655E-2</v>
      </c>
      <c r="J618" s="15">
        <v>127.09</v>
      </c>
      <c r="K618" s="14">
        <v>1112</v>
      </c>
      <c r="L618" s="14">
        <v>326</v>
      </c>
      <c r="M618" s="15">
        <v>21.14</v>
      </c>
      <c r="N618" s="17">
        <v>310157.7</v>
      </c>
      <c r="O618" s="17">
        <v>28919.965843146409</v>
      </c>
      <c r="P618" s="17">
        <v>22160.687592942191</v>
      </c>
      <c r="Q618" s="17">
        <v>259077.0465639114</v>
      </c>
      <c r="R618" s="17">
        <v>179196.9</v>
      </c>
      <c r="S618" s="17">
        <v>79880.146563911403</v>
      </c>
      <c r="T618" s="17">
        <v>6891.64</v>
      </c>
    </row>
    <row r="619" spans="1:20" x14ac:dyDescent="0.3">
      <c r="A619" s="13">
        <v>45535</v>
      </c>
      <c r="B619" s="7" t="s">
        <v>121</v>
      </c>
      <c r="C619" s="7" t="s">
        <v>24</v>
      </c>
      <c r="D619" s="7" t="s">
        <v>103</v>
      </c>
      <c r="E619" s="7" t="s">
        <v>30</v>
      </c>
      <c r="F619" s="14">
        <v>1367</v>
      </c>
      <c r="G619" s="15">
        <v>194.86</v>
      </c>
      <c r="H619" s="16">
        <v>3.9690862428852121E-2</v>
      </c>
      <c r="I619" s="16">
        <v>2.251545184311873E-2</v>
      </c>
      <c r="J619" s="15">
        <v>122.96</v>
      </c>
      <c r="K619" s="14">
        <v>108</v>
      </c>
      <c r="L619" s="14">
        <v>6</v>
      </c>
      <c r="M619" s="15">
        <v>4.07</v>
      </c>
      <c r="N619" s="17">
        <v>266373.62</v>
      </c>
      <c r="O619" s="17">
        <v>10572.59870609533</v>
      </c>
      <c r="P619" s="17">
        <v>5759.4755763635003</v>
      </c>
      <c r="Q619" s="17">
        <v>250041.54571754119</v>
      </c>
      <c r="R619" s="17">
        <v>168086.32</v>
      </c>
      <c r="S619" s="17">
        <v>81955.22571754118</v>
      </c>
      <c r="T619" s="17">
        <v>24.42</v>
      </c>
    </row>
    <row r="620" spans="1:20" x14ac:dyDescent="0.3">
      <c r="A620" s="13">
        <v>45535</v>
      </c>
      <c r="B620" s="7" t="s">
        <v>121</v>
      </c>
      <c r="C620" s="7" t="s">
        <v>24</v>
      </c>
      <c r="D620" s="7" t="s">
        <v>104</v>
      </c>
      <c r="E620" s="7" t="s">
        <v>25</v>
      </c>
      <c r="F620" s="14">
        <v>2773</v>
      </c>
      <c r="G620" s="15">
        <v>47.07</v>
      </c>
      <c r="H620" s="16">
        <v>5.1544830822126152E-2</v>
      </c>
      <c r="I620" s="16">
        <v>5.1192449175640961E-2</v>
      </c>
      <c r="J620" s="15">
        <v>22.56</v>
      </c>
      <c r="K620" s="14">
        <v>1936</v>
      </c>
      <c r="L620" s="14">
        <v>707</v>
      </c>
      <c r="M620" s="15">
        <v>40.369999999999997</v>
      </c>
      <c r="N620" s="17">
        <v>130525.11</v>
      </c>
      <c r="O620" s="17">
        <v>6727.8947129894068</v>
      </c>
      <c r="P620" s="17">
        <v>6337.4826516661724</v>
      </c>
      <c r="Q620" s="17">
        <v>117459.73263534439</v>
      </c>
      <c r="R620" s="17">
        <v>62558.879999999997</v>
      </c>
      <c r="S620" s="17">
        <v>54900.852635344418</v>
      </c>
      <c r="T620" s="17">
        <v>28541.59</v>
      </c>
    </row>
    <row r="621" spans="1:20" x14ac:dyDescent="0.3">
      <c r="A621" s="13">
        <v>45535</v>
      </c>
      <c r="B621" s="7" t="s">
        <v>121</v>
      </c>
      <c r="C621" s="7" t="s">
        <v>24</v>
      </c>
      <c r="D621" s="7" t="s">
        <v>104</v>
      </c>
      <c r="E621" s="7" t="s">
        <v>28</v>
      </c>
      <c r="F621" s="14">
        <v>1697</v>
      </c>
      <c r="G621" s="15">
        <v>42.19</v>
      </c>
      <c r="H621" s="16">
        <v>7.0127499514138311E-2</v>
      </c>
      <c r="I621" s="16">
        <v>3.9392477626520088E-2</v>
      </c>
      <c r="J621" s="15">
        <v>23.7</v>
      </c>
      <c r="K621" s="14">
        <v>1410</v>
      </c>
      <c r="L621" s="14">
        <v>397</v>
      </c>
      <c r="M621" s="15">
        <v>18.38</v>
      </c>
      <c r="N621" s="17">
        <v>71596.429999999993</v>
      </c>
      <c r="O621" s="17">
        <v>5020.8786100390371</v>
      </c>
      <c r="P621" s="17">
        <v>2622.575918602276</v>
      </c>
      <c r="Q621" s="17">
        <v>63952.975471358674</v>
      </c>
      <c r="R621" s="17">
        <v>40218.9</v>
      </c>
      <c r="S621" s="17">
        <v>23734.075471358668</v>
      </c>
      <c r="T621" s="17">
        <v>7296.86</v>
      </c>
    </row>
    <row r="622" spans="1:20" x14ac:dyDescent="0.3">
      <c r="A622" s="13">
        <v>45535</v>
      </c>
      <c r="B622" s="7" t="s">
        <v>121</v>
      </c>
      <c r="C622" s="7" t="s">
        <v>24</v>
      </c>
      <c r="D622" s="7" t="s">
        <v>104</v>
      </c>
      <c r="E622" s="7" t="s">
        <v>30</v>
      </c>
      <c r="F622" s="14">
        <v>1106</v>
      </c>
      <c r="G622" s="15">
        <v>39.69</v>
      </c>
      <c r="H622" s="16">
        <v>4.1720644674295523E-2</v>
      </c>
      <c r="I622" s="16">
        <v>1.9263973606572019E-2</v>
      </c>
      <c r="J622" s="15">
        <v>23.15</v>
      </c>
      <c r="K622" s="14">
        <v>84</v>
      </c>
      <c r="L622" s="14">
        <v>5</v>
      </c>
      <c r="M622" s="15">
        <v>6.47</v>
      </c>
      <c r="N622" s="17">
        <v>43897.14</v>
      </c>
      <c r="O622" s="17">
        <v>1831.416980157805</v>
      </c>
      <c r="P622" s="17">
        <v>810.35297799560897</v>
      </c>
      <c r="Q622" s="17">
        <v>41255.370041846589</v>
      </c>
      <c r="R622" s="17">
        <v>25603.9</v>
      </c>
      <c r="S622" s="17">
        <v>15651.470041846591</v>
      </c>
      <c r="T622" s="17">
        <v>32.35</v>
      </c>
    </row>
    <row r="623" spans="1:20" x14ac:dyDescent="0.3">
      <c r="A623" s="13">
        <v>45535</v>
      </c>
      <c r="B623" s="7" t="s">
        <v>121</v>
      </c>
      <c r="C623" s="7" t="s">
        <v>27</v>
      </c>
      <c r="D623" s="7" t="s">
        <v>102</v>
      </c>
      <c r="E623" s="7" t="s">
        <v>25</v>
      </c>
      <c r="F623" s="14">
        <v>5244</v>
      </c>
      <c r="G623" s="15">
        <v>144.53</v>
      </c>
      <c r="H623" s="16">
        <v>4.1105793620228773E-2</v>
      </c>
      <c r="I623" s="16">
        <v>4.6832230147888093E-2</v>
      </c>
      <c r="J623" s="15">
        <v>75.06</v>
      </c>
      <c r="K623" s="14">
        <v>3627</v>
      </c>
      <c r="L623" s="14">
        <v>1394</v>
      </c>
      <c r="M623" s="15">
        <v>35.26</v>
      </c>
      <c r="N623" s="17">
        <v>757915.32</v>
      </c>
      <c r="O623" s="17">
        <v>31154.71072552964</v>
      </c>
      <c r="P623" s="17">
        <v>34035.820115961367</v>
      </c>
      <c r="Q623" s="17">
        <v>692724.789158509</v>
      </c>
      <c r="R623" s="17">
        <v>393614.64</v>
      </c>
      <c r="S623" s="17">
        <v>299110.14915850898</v>
      </c>
      <c r="T623" s="17">
        <v>49152.44</v>
      </c>
    </row>
    <row r="624" spans="1:20" x14ac:dyDescent="0.3">
      <c r="A624" s="13">
        <v>45535</v>
      </c>
      <c r="B624" s="7" t="s">
        <v>121</v>
      </c>
      <c r="C624" s="7" t="s">
        <v>27</v>
      </c>
      <c r="D624" s="7" t="s">
        <v>102</v>
      </c>
      <c r="E624" s="7" t="s">
        <v>28</v>
      </c>
      <c r="F624" s="14">
        <v>2204</v>
      </c>
      <c r="G624" s="15">
        <v>138.16</v>
      </c>
      <c r="H624" s="16">
        <v>0.10090848855692799</v>
      </c>
      <c r="I624" s="16">
        <v>4.7279016029542369E-2</v>
      </c>
      <c r="J624" s="15">
        <v>74.36</v>
      </c>
      <c r="K624" s="14">
        <v>1833</v>
      </c>
      <c r="L624" s="14">
        <v>573</v>
      </c>
      <c r="M624" s="15">
        <v>16.53</v>
      </c>
      <c r="N624" s="17">
        <v>304504.64</v>
      </c>
      <c r="O624" s="17">
        <v>30727.102980971471</v>
      </c>
      <c r="P624" s="17">
        <v>12943.93256125128</v>
      </c>
      <c r="Q624" s="17">
        <v>260833.60445777731</v>
      </c>
      <c r="R624" s="17">
        <v>163889.44</v>
      </c>
      <c r="S624" s="17">
        <v>96944.164457777282</v>
      </c>
      <c r="T624" s="17">
        <v>9471.69</v>
      </c>
    </row>
    <row r="625" spans="1:20" x14ac:dyDescent="0.3">
      <c r="A625" s="13">
        <v>45535</v>
      </c>
      <c r="B625" s="7" t="s">
        <v>121</v>
      </c>
      <c r="C625" s="7" t="s">
        <v>27</v>
      </c>
      <c r="D625" s="7" t="s">
        <v>102</v>
      </c>
      <c r="E625" s="7" t="s">
        <v>30</v>
      </c>
      <c r="F625" s="14">
        <v>1436</v>
      </c>
      <c r="G625" s="15">
        <v>108.26</v>
      </c>
      <c r="H625" s="16">
        <v>4.6290895906303559E-2</v>
      </c>
      <c r="I625" s="16">
        <v>2.243887410542169E-2</v>
      </c>
      <c r="J625" s="15">
        <v>73.66</v>
      </c>
      <c r="K625" s="14">
        <v>118</v>
      </c>
      <c r="L625" s="14">
        <v>7</v>
      </c>
      <c r="M625" s="15">
        <v>4.87</v>
      </c>
      <c r="N625" s="17">
        <v>155461.35999999999</v>
      </c>
      <c r="O625" s="17">
        <v>7196.4456332123846</v>
      </c>
      <c r="P625" s="17">
        <v>3326.8977477274761</v>
      </c>
      <c r="Q625" s="17">
        <v>144938.0166190601</v>
      </c>
      <c r="R625" s="17">
        <v>105775.76</v>
      </c>
      <c r="S625" s="17">
        <v>39162.256619060143</v>
      </c>
      <c r="T625" s="17">
        <v>34.090000000000003</v>
      </c>
    </row>
    <row r="626" spans="1:20" x14ac:dyDescent="0.3">
      <c r="A626" s="13">
        <v>45535</v>
      </c>
      <c r="B626" s="7" t="s">
        <v>121</v>
      </c>
      <c r="C626" s="7" t="s">
        <v>27</v>
      </c>
      <c r="D626" s="7" t="s">
        <v>103</v>
      </c>
      <c r="E626" s="7" t="s">
        <v>25</v>
      </c>
      <c r="F626" s="14">
        <v>3308</v>
      </c>
      <c r="G626" s="15">
        <v>248.53</v>
      </c>
      <c r="H626" s="16">
        <v>6.0689481634064929E-2</v>
      </c>
      <c r="I626" s="16">
        <v>3.4882364420576968E-2</v>
      </c>
      <c r="J626" s="15">
        <v>120.96</v>
      </c>
      <c r="K626" s="14">
        <v>2348</v>
      </c>
      <c r="L626" s="14">
        <v>893</v>
      </c>
      <c r="M626" s="15">
        <v>43.76</v>
      </c>
      <c r="N626" s="17">
        <v>822137.24</v>
      </c>
      <c r="O626" s="17">
        <v>49895.082927660827</v>
      </c>
      <c r="P626" s="17">
        <v>26937.63234392977</v>
      </c>
      <c r="Q626" s="17">
        <v>745304.52472840948</v>
      </c>
      <c r="R626" s="17">
        <v>400135.67999999999</v>
      </c>
      <c r="S626" s="17">
        <v>345168.84472840949</v>
      </c>
      <c r="T626" s="17">
        <v>39077.68</v>
      </c>
    </row>
    <row r="627" spans="1:20" x14ac:dyDescent="0.3">
      <c r="A627" s="13">
        <v>45535</v>
      </c>
      <c r="B627" s="7" t="s">
        <v>121</v>
      </c>
      <c r="C627" s="7" t="s">
        <v>27</v>
      </c>
      <c r="D627" s="7" t="s">
        <v>103</v>
      </c>
      <c r="E627" s="7" t="s">
        <v>28</v>
      </c>
      <c r="F627" s="14">
        <v>1160</v>
      </c>
      <c r="G627" s="15">
        <v>230.69</v>
      </c>
      <c r="H627" s="16">
        <v>8.7490019507191596E-2</v>
      </c>
      <c r="I627" s="16">
        <v>3.600907856708533E-2</v>
      </c>
      <c r="J627" s="15">
        <v>137.93</v>
      </c>
      <c r="K627" s="14">
        <v>982</v>
      </c>
      <c r="L627" s="14">
        <v>294</v>
      </c>
      <c r="M627" s="15">
        <v>14</v>
      </c>
      <c r="N627" s="17">
        <v>267600.40000000002</v>
      </c>
      <c r="O627" s="17">
        <v>23412.364216132279</v>
      </c>
      <c r="P627" s="17">
        <v>8792.9861656835383</v>
      </c>
      <c r="Q627" s="17">
        <v>235395.04961818419</v>
      </c>
      <c r="R627" s="17">
        <v>159998.79999999999</v>
      </c>
      <c r="S627" s="17">
        <v>75396.2496181842</v>
      </c>
      <c r="T627" s="17">
        <v>4116</v>
      </c>
    </row>
    <row r="628" spans="1:20" x14ac:dyDescent="0.3">
      <c r="A628" s="13">
        <v>45535</v>
      </c>
      <c r="B628" s="7" t="s">
        <v>121</v>
      </c>
      <c r="C628" s="7" t="s">
        <v>27</v>
      </c>
      <c r="D628" s="7" t="s">
        <v>103</v>
      </c>
      <c r="E628" s="7" t="s">
        <v>30</v>
      </c>
      <c r="F628" s="14">
        <v>749</v>
      </c>
      <c r="G628" s="15">
        <v>205.08</v>
      </c>
      <c r="H628" s="16">
        <v>3.2583185223817229E-2</v>
      </c>
      <c r="I628" s="16">
        <v>2.62716918037867E-2</v>
      </c>
      <c r="J628" s="15">
        <v>131.94</v>
      </c>
      <c r="K628" s="14">
        <v>61</v>
      </c>
      <c r="L628" s="14">
        <v>4</v>
      </c>
      <c r="M628" s="15">
        <v>5.48</v>
      </c>
      <c r="N628" s="17">
        <v>153604.92000000001</v>
      </c>
      <c r="O628" s="17">
        <v>5004.9375596496284</v>
      </c>
      <c r="P628" s="17">
        <v>3903.9729407210002</v>
      </c>
      <c r="Q628" s="17">
        <v>144696.00949962941</v>
      </c>
      <c r="R628" s="17">
        <v>98823.06</v>
      </c>
      <c r="S628" s="17">
        <v>45872.94949962938</v>
      </c>
      <c r="T628" s="17">
        <v>21.92</v>
      </c>
    </row>
    <row r="629" spans="1:20" x14ac:dyDescent="0.3">
      <c r="A629" s="13">
        <v>45535</v>
      </c>
      <c r="B629" s="7" t="s">
        <v>121</v>
      </c>
      <c r="C629" s="7" t="s">
        <v>27</v>
      </c>
      <c r="D629" s="7" t="s">
        <v>104</v>
      </c>
      <c r="E629" s="7" t="s">
        <v>25</v>
      </c>
      <c r="F629" s="14">
        <v>2257</v>
      </c>
      <c r="G629" s="15">
        <v>50.26</v>
      </c>
      <c r="H629" s="16">
        <v>7.4614964935300371E-2</v>
      </c>
      <c r="I629" s="16">
        <v>4.3831681897589007E-2</v>
      </c>
      <c r="J629" s="15">
        <v>24.02</v>
      </c>
      <c r="K629" s="14">
        <v>1706</v>
      </c>
      <c r="L629" s="14">
        <v>733</v>
      </c>
      <c r="M629" s="15">
        <v>22.25</v>
      </c>
      <c r="N629" s="17">
        <v>113436.82</v>
      </c>
      <c r="O629" s="17">
        <v>8464.0843466719798</v>
      </c>
      <c r="P629" s="17">
        <v>4601.1315570763736</v>
      </c>
      <c r="Q629" s="17">
        <v>100371.6040962516</v>
      </c>
      <c r="R629" s="17">
        <v>54213.14</v>
      </c>
      <c r="S629" s="17">
        <v>46158.464096251642</v>
      </c>
      <c r="T629" s="17">
        <v>16309.25</v>
      </c>
    </row>
    <row r="630" spans="1:20" x14ac:dyDescent="0.3">
      <c r="A630" s="13">
        <v>45535</v>
      </c>
      <c r="B630" s="7" t="s">
        <v>121</v>
      </c>
      <c r="C630" s="7" t="s">
        <v>27</v>
      </c>
      <c r="D630" s="7" t="s">
        <v>104</v>
      </c>
      <c r="E630" s="7" t="s">
        <v>28</v>
      </c>
      <c r="F630" s="14">
        <v>875</v>
      </c>
      <c r="G630" s="15">
        <v>49.36</v>
      </c>
      <c r="H630" s="16">
        <v>6.1994434261279791E-2</v>
      </c>
      <c r="I630" s="16">
        <v>5.9669477039935942E-2</v>
      </c>
      <c r="J630" s="15">
        <v>24.47</v>
      </c>
      <c r="K630" s="14">
        <v>705</v>
      </c>
      <c r="L630" s="14">
        <v>222</v>
      </c>
      <c r="M630" s="15">
        <v>17.399999999999999</v>
      </c>
      <c r="N630" s="17">
        <v>43190</v>
      </c>
      <c r="O630" s="17">
        <v>2677.5396157446739</v>
      </c>
      <c r="P630" s="17">
        <v>2417.3573247296381</v>
      </c>
      <c r="Q630" s="17">
        <v>38095.103059525689</v>
      </c>
      <c r="R630" s="17">
        <v>21411.25</v>
      </c>
      <c r="S630" s="17">
        <v>16683.853059525689</v>
      </c>
      <c r="T630" s="17">
        <v>3862.8</v>
      </c>
    </row>
    <row r="631" spans="1:20" x14ac:dyDescent="0.3">
      <c r="A631" s="13">
        <v>45535</v>
      </c>
      <c r="B631" s="7" t="s">
        <v>121</v>
      </c>
      <c r="C631" s="7" t="s">
        <v>27</v>
      </c>
      <c r="D631" s="7" t="s">
        <v>104</v>
      </c>
      <c r="E631" s="7" t="s">
        <v>30</v>
      </c>
      <c r="F631" s="14">
        <v>823</v>
      </c>
      <c r="G631" s="15">
        <v>41.65</v>
      </c>
      <c r="H631" s="16">
        <v>3.270051517518574E-2</v>
      </c>
      <c r="I631" s="16">
        <v>1.4392349262874859E-2</v>
      </c>
      <c r="J631" s="15">
        <v>24.17</v>
      </c>
      <c r="K631" s="14">
        <v>70</v>
      </c>
      <c r="L631" s="14">
        <v>4</v>
      </c>
      <c r="M631" s="15">
        <v>5.0199999999999996</v>
      </c>
      <c r="N631" s="17">
        <v>34277.949999999997</v>
      </c>
      <c r="O631" s="17">
        <v>1120.9066241492581</v>
      </c>
      <c r="P631" s="17">
        <v>477.20774878953517</v>
      </c>
      <c r="Q631" s="17">
        <v>32679.835627061209</v>
      </c>
      <c r="R631" s="17">
        <v>19891.91</v>
      </c>
      <c r="S631" s="17">
        <v>12787.92562706121</v>
      </c>
      <c r="T631" s="17">
        <v>20.079999999999998</v>
      </c>
    </row>
    <row r="632" spans="1:20" x14ac:dyDescent="0.3">
      <c r="A632" s="13">
        <v>45535</v>
      </c>
      <c r="B632" s="7" t="s">
        <v>121</v>
      </c>
      <c r="C632" s="7" t="s">
        <v>29</v>
      </c>
      <c r="D632" s="7" t="s">
        <v>102</v>
      </c>
      <c r="E632" s="7" t="s">
        <v>25</v>
      </c>
      <c r="F632" s="14">
        <v>4182</v>
      </c>
      <c r="G632" s="15">
        <v>123.1</v>
      </c>
      <c r="H632" s="16">
        <v>5.6982803263187748E-2</v>
      </c>
      <c r="I632" s="16">
        <v>2.6589352866984311E-2</v>
      </c>
      <c r="J632" s="15">
        <v>72.55</v>
      </c>
      <c r="K632" s="14">
        <v>2835</v>
      </c>
      <c r="L632" s="14">
        <v>1058</v>
      </c>
      <c r="M632" s="15">
        <v>30.82</v>
      </c>
      <c r="N632" s="17">
        <v>514804.2</v>
      </c>
      <c r="O632" s="17">
        <v>29334.986447662759</v>
      </c>
      <c r="P632" s="17">
        <v>12908.31222520046</v>
      </c>
      <c r="Q632" s="17">
        <v>472560.90132713667</v>
      </c>
      <c r="R632" s="17">
        <v>303404.09999999998</v>
      </c>
      <c r="S632" s="17">
        <v>169156.80132713681</v>
      </c>
      <c r="T632" s="17">
        <v>32607.56</v>
      </c>
    </row>
    <row r="633" spans="1:20" x14ac:dyDescent="0.3">
      <c r="A633" s="13">
        <v>45535</v>
      </c>
      <c r="B633" s="7" t="s">
        <v>121</v>
      </c>
      <c r="C633" s="7" t="s">
        <v>29</v>
      </c>
      <c r="D633" s="7" t="s">
        <v>102</v>
      </c>
      <c r="E633" s="7" t="s">
        <v>28</v>
      </c>
      <c r="F633" s="14">
        <v>1960</v>
      </c>
      <c r="G633" s="15">
        <v>113.57</v>
      </c>
      <c r="H633" s="16">
        <v>7.4084532867472616E-2</v>
      </c>
      <c r="I633" s="16">
        <v>5.6704958214735597E-2</v>
      </c>
      <c r="J633" s="15">
        <v>72.27</v>
      </c>
      <c r="K633" s="14">
        <v>1738</v>
      </c>
      <c r="L633" s="14">
        <v>521</v>
      </c>
      <c r="M633" s="15">
        <v>12.96</v>
      </c>
      <c r="N633" s="17">
        <v>222597.2</v>
      </c>
      <c r="O633" s="17">
        <v>16491.009579607369</v>
      </c>
      <c r="P633" s="17">
        <v>11687.242915586699</v>
      </c>
      <c r="Q633" s="17">
        <v>194418.9475048059</v>
      </c>
      <c r="R633" s="17">
        <v>141649.20000000001</v>
      </c>
      <c r="S633" s="17">
        <v>52769.747504805913</v>
      </c>
      <c r="T633" s="17">
        <v>6752.1600000000008</v>
      </c>
    </row>
    <row r="634" spans="1:20" x14ac:dyDescent="0.3">
      <c r="A634" s="13">
        <v>45535</v>
      </c>
      <c r="B634" s="7" t="s">
        <v>121</v>
      </c>
      <c r="C634" s="7" t="s">
        <v>29</v>
      </c>
      <c r="D634" s="7" t="s">
        <v>102</v>
      </c>
      <c r="E634" s="7" t="s">
        <v>30</v>
      </c>
      <c r="F634" s="14">
        <v>1617</v>
      </c>
      <c r="G634" s="15">
        <v>100.91</v>
      </c>
      <c r="H634" s="16">
        <v>4.2006631089091133E-2</v>
      </c>
      <c r="I634" s="16">
        <v>2.7390359491782219E-2</v>
      </c>
      <c r="J634" s="15">
        <v>68.849999999999994</v>
      </c>
      <c r="K634" s="14">
        <v>135</v>
      </c>
      <c r="L634" s="14">
        <v>8</v>
      </c>
      <c r="M634" s="15">
        <v>5.12</v>
      </c>
      <c r="N634" s="17">
        <v>163171.47</v>
      </c>
      <c r="O634" s="17">
        <v>6854.2837445547011</v>
      </c>
      <c r="P634" s="17">
        <v>4281.5839262805257</v>
      </c>
      <c r="Q634" s="17">
        <v>152035.6023291648</v>
      </c>
      <c r="R634" s="17">
        <v>111330.45</v>
      </c>
      <c r="S634" s="17">
        <v>40705.152329164783</v>
      </c>
      <c r="T634" s="17">
        <v>40.96</v>
      </c>
    </row>
    <row r="635" spans="1:20" x14ac:dyDescent="0.3">
      <c r="A635" s="13">
        <v>45535</v>
      </c>
      <c r="B635" s="7" t="s">
        <v>121</v>
      </c>
      <c r="C635" s="7" t="s">
        <v>29</v>
      </c>
      <c r="D635" s="7" t="s">
        <v>103</v>
      </c>
      <c r="E635" s="7" t="s">
        <v>25</v>
      </c>
      <c r="F635" s="14">
        <v>1979</v>
      </c>
      <c r="G635" s="15">
        <v>232.7</v>
      </c>
      <c r="H635" s="16">
        <v>5.9846945329645518E-2</v>
      </c>
      <c r="I635" s="16">
        <v>4.5050210882737668E-2</v>
      </c>
      <c r="J635" s="15">
        <v>121.97</v>
      </c>
      <c r="K635" s="14">
        <v>1306</v>
      </c>
      <c r="L635" s="14">
        <v>525</v>
      </c>
      <c r="M635" s="15">
        <v>27.89</v>
      </c>
      <c r="N635" s="17">
        <v>460513.3</v>
      </c>
      <c r="O635" s="17">
        <v>27560.314288674639</v>
      </c>
      <c r="P635" s="17">
        <v>19504.623308606118</v>
      </c>
      <c r="Q635" s="17">
        <v>413448.36240271927</v>
      </c>
      <c r="R635" s="17">
        <v>241378.63</v>
      </c>
      <c r="S635" s="17">
        <v>172069.7324027193</v>
      </c>
      <c r="T635" s="17">
        <v>14642.25</v>
      </c>
    </row>
    <row r="636" spans="1:20" x14ac:dyDescent="0.3">
      <c r="A636" s="13">
        <v>45535</v>
      </c>
      <c r="B636" s="7" t="s">
        <v>121</v>
      </c>
      <c r="C636" s="7" t="s">
        <v>29</v>
      </c>
      <c r="D636" s="7" t="s">
        <v>103</v>
      </c>
      <c r="E636" s="7" t="s">
        <v>28</v>
      </c>
      <c r="F636" s="14">
        <v>638</v>
      </c>
      <c r="G636" s="15">
        <v>215.53</v>
      </c>
      <c r="H636" s="16">
        <v>8.8446019132036258E-2</v>
      </c>
      <c r="I636" s="16">
        <v>5.4811210064292439E-2</v>
      </c>
      <c r="J636" s="15">
        <v>124.91</v>
      </c>
      <c r="K636" s="14">
        <v>517</v>
      </c>
      <c r="L636" s="14">
        <v>142</v>
      </c>
      <c r="M636" s="15">
        <v>14.37</v>
      </c>
      <c r="N636" s="17">
        <v>137508.14000000001</v>
      </c>
      <c r="O636" s="17">
        <v>12162.047581250719</v>
      </c>
      <c r="P636" s="17">
        <v>6870.3710023022813</v>
      </c>
      <c r="Q636" s="17">
        <v>118475.72141644701</v>
      </c>
      <c r="R636" s="17">
        <v>79692.58</v>
      </c>
      <c r="S636" s="17">
        <v>38783.141416446997</v>
      </c>
      <c r="T636" s="17">
        <v>2040.54</v>
      </c>
    </row>
    <row r="637" spans="1:20" x14ac:dyDescent="0.3">
      <c r="A637" s="13">
        <v>45535</v>
      </c>
      <c r="B637" s="7" t="s">
        <v>121</v>
      </c>
      <c r="C637" s="7" t="s">
        <v>29</v>
      </c>
      <c r="D637" s="7" t="s">
        <v>103</v>
      </c>
      <c r="E637" s="7" t="s">
        <v>30</v>
      </c>
      <c r="F637" s="14">
        <v>617</v>
      </c>
      <c r="G637" s="15">
        <v>182.6</v>
      </c>
      <c r="H637" s="16">
        <v>4.1489950855095298E-2</v>
      </c>
      <c r="I637" s="16">
        <v>2.0390588676180089E-2</v>
      </c>
      <c r="J637" s="15">
        <v>123.12</v>
      </c>
      <c r="K637" s="14">
        <v>52</v>
      </c>
      <c r="L637" s="14">
        <v>3</v>
      </c>
      <c r="M637" s="15">
        <v>5.18</v>
      </c>
      <c r="N637" s="17">
        <v>112664.2</v>
      </c>
      <c r="O637" s="17">
        <v>4674.4321211286278</v>
      </c>
      <c r="P637" s="17">
        <v>2201.9749380542298</v>
      </c>
      <c r="Q637" s="17">
        <v>105787.7929408171</v>
      </c>
      <c r="R637" s="17">
        <v>75965.040000000008</v>
      </c>
      <c r="S637" s="17">
        <v>29822.752940817121</v>
      </c>
      <c r="T637" s="17">
        <v>15.54</v>
      </c>
    </row>
    <row r="638" spans="1:20" x14ac:dyDescent="0.3">
      <c r="A638" s="13">
        <v>45535</v>
      </c>
      <c r="B638" s="7" t="s">
        <v>121</v>
      </c>
      <c r="C638" s="7" t="s">
        <v>29</v>
      </c>
      <c r="D638" s="7" t="s">
        <v>104</v>
      </c>
      <c r="E638" s="7" t="s">
        <v>25</v>
      </c>
      <c r="F638" s="14">
        <v>1295</v>
      </c>
      <c r="G638" s="15">
        <v>45.07</v>
      </c>
      <c r="H638" s="16">
        <v>5.5674168526605818E-2</v>
      </c>
      <c r="I638" s="16">
        <v>6.5393816227828611E-2</v>
      </c>
      <c r="J638" s="15">
        <v>22.28</v>
      </c>
      <c r="K638" s="14">
        <v>895</v>
      </c>
      <c r="L638" s="14">
        <v>318</v>
      </c>
      <c r="M638" s="15">
        <v>23.91</v>
      </c>
      <c r="N638" s="17">
        <v>58365.65</v>
      </c>
      <c r="O638" s="17">
        <v>3249.4590342648912</v>
      </c>
      <c r="P638" s="17">
        <v>3604.2580631911901</v>
      </c>
      <c r="Q638" s="17">
        <v>51511.932902543922</v>
      </c>
      <c r="R638" s="17">
        <v>28852.6</v>
      </c>
      <c r="S638" s="17">
        <v>22659.33290254392</v>
      </c>
      <c r="T638" s="17">
        <v>7603.38</v>
      </c>
    </row>
    <row r="639" spans="1:20" x14ac:dyDescent="0.3">
      <c r="A639" s="13">
        <v>45535</v>
      </c>
      <c r="B639" s="7" t="s">
        <v>121</v>
      </c>
      <c r="C639" s="7" t="s">
        <v>29</v>
      </c>
      <c r="D639" s="7" t="s">
        <v>104</v>
      </c>
      <c r="E639" s="7" t="s">
        <v>28</v>
      </c>
      <c r="F639" s="14">
        <v>692</v>
      </c>
      <c r="G639" s="15">
        <v>41.66</v>
      </c>
      <c r="H639" s="16">
        <v>6.8637222350680857E-2</v>
      </c>
      <c r="I639" s="16">
        <v>7.2252555171464714E-2</v>
      </c>
      <c r="J639" s="15">
        <v>21.38</v>
      </c>
      <c r="K639" s="14">
        <v>589</v>
      </c>
      <c r="L639" s="14">
        <v>194</v>
      </c>
      <c r="M639" s="15">
        <v>16.59</v>
      </c>
      <c r="N639" s="17">
        <v>28828.720000000001</v>
      </c>
      <c r="O639" s="17">
        <v>1978.72326472552</v>
      </c>
      <c r="P639" s="17">
        <v>1939.980870469067</v>
      </c>
      <c r="Q639" s="17">
        <v>24910.015864805409</v>
      </c>
      <c r="R639" s="17">
        <v>14794.96</v>
      </c>
      <c r="S639" s="17">
        <v>10115.05586480541</v>
      </c>
      <c r="T639" s="17">
        <v>3218.46</v>
      </c>
    </row>
    <row r="640" spans="1:20" x14ac:dyDescent="0.3">
      <c r="A640" s="13">
        <v>45535</v>
      </c>
      <c r="B640" s="7" t="s">
        <v>121</v>
      </c>
      <c r="C640" s="7" t="s">
        <v>29</v>
      </c>
      <c r="D640" s="7" t="s">
        <v>104</v>
      </c>
      <c r="E640" s="7" t="s">
        <v>30</v>
      </c>
      <c r="F640" s="14">
        <v>541</v>
      </c>
      <c r="G640" s="15">
        <v>36.26</v>
      </c>
      <c r="H640" s="16">
        <v>3.8357624486999441E-2</v>
      </c>
      <c r="I640" s="16">
        <v>1.992864823525306E-2</v>
      </c>
      <c r="J640" s="15">
        <v>22.4</v>
      </c>
      <c r="K640" s="14">
        <v>45</v>
      </c>
      <c r="L640" s="14">
        <v>3</v>
      </c>
      <c r="M640" s="15">
        <v>5.09</v>
      </c>
      <c r="N640" s="17">
        <v>19616.66</v>
      </c>
      <c r="O640" s="17">
        <v>752.44847796914246</v>
      </c>
      <c r="P640" s="17">
        <v>375.93823565796072</v>
      </c>
      <c r="Q640" s="17">
        <v>18488.2732863729</v>
      </c>
      <c r="R640" s="17">
        <v>12118.4</v>
      </c>
      <c r="S640" s="17">
        <v>6369.8732863729001</v>
      </c>
      <c r="T640" s="17">
        <v>15.27</v>
      </c>
    </row>
    <row r="641" spans="1:20" x14ac:dyDescent="0.3">
      <c r="A641" s="13">
        <v>45535</v>
      </c>
      <c r="B641" s="7" t="s">
        <v>121</v>
      </c>
      <c r="C641" s="7" t="s">
        <v>31</v>
      </c>
      <c r="D641" s="7" t="s">
        <v>102</v>
      </c>
      <c r="E641" s="7" t="s">
        <v>25</v>
      </c>
      <c r="F641" s="14">
        <v>2108</v>
      </c>
      <c r="G641" s="15">
        <v>112.38</v>
      </c>
      <c r="H641" s="16">
        <v>4.5759991499281699E-2</v>
      </c>
      <c r="I641" s="16">
        <v>4.0502276991656809E-2</v>
      </c>
      <c r="J641" s="15">
        <v>69.790000000000006</v>
      </c>
      <c r="K641" s="14">
        <v>1503</v>
      </c>
      <c r="L641" s="14">
        <v>585</v>
      </c>
      <c r="M641" s="15">
        <v>36.200000000000003</v>
      </c>
      <c r="N641" s="17">
        <v>236897.04</v>
      </c>
      <c r="O641" s="17">
        <v>10840.406536605</v>
      </c>
      <c r="P641" s="17">
        <v>9155.8083843358581</v>
      </c>
      <c r="Q641" s="17">
        <v>216900.82507905911</v>
      </c>
      <c r="R641" s="17">
        <v>147117.32</v>
      </c>
      <c r="S641" s="17">
        <v>69783.505079059105</v>
      </c>
      <c r="T641" s="17">
        <v>21177</v>
      </c>
    </row>
    <row r="642" spans="1:20" x14ac:dyDescent="0.3">
      <c r="A642" s="13">
        <v>45535</v>
      </c>
      <c r="B642" s="7" t="s">
        <v>121</v>
      </c>
      <c r="C642" s="7" t="s">
        <v>31</v>
      </c>
      <c r="D642" s="7" t="s">
        <v>102</v>
      </c>
      <c r="E642" s="7" t="s">
        <v>28</v>
      </c>
      <c r="F642" s="14">
        <v>782</v>
      </c>
      <c r="G642" s="15">
        <v>105.85</v>
      </c>
      <c r="H642" s="16">
        <v>0.10395739424147681</v>
      </c>
      <c r="I642" s="16">
        <v>5.3888098390625971E-2</v>
      </c>
      <c r="J642" s="15">
        <v>70.67</v>
      </c>
      <c r="K642" s="14">
        <v>634</v>
      </c>
      <c r="L642" s="14">
        <v>184</v>
      </c>
      <c r="M642" s="15">
        <v>18.399999999999999</v>
      </c>
      <c r="N642" s="17">
        <v>82774.7</v>
      </c>
      <c r="O642" s="17">
        <v>8605.04212111997</v>
      </c>
      <c r="P642" s="17">
        <v>3996.8618213761538</v>
      </c>
      <c r="Q642" s="17">
        <v>70172.796057503874</v>
      </c>
      <c r="R642" s="17">
        <v>55263.94</v>
      </c>
      <c r="S642" s="17">
        <v>14908.85605750387</v>
      </c>
      <c r="T642" s="17">
        <v>3385.6</v>
      </c>
    </row>
    <row r="643" spans="1:20" x14ac:dyDescent="0.3">
      <c r="A643" s="13">
        <v>45535</v>
      </c>
      <c r="B643" s="7" t="s">
        <v>121</v>
      </c>
      <c r="C643" s="7" t="s">
        <v>31</v>
      </c>
      <c r="D643" s="7" t="s">
        <v>102</v>
      </c>
      <c r="E643" s="7" t="s">
        <v>30</v>
      </c>
      <c r="F643" s="14">
        <v>693</v>
      </c>
      <c r="G643" s="15">
        <v>91.86</v>
      </c>
      <c r="H643" s="16">
        <v>5.3654952565885823E-2</v>
      </c>
      <c r="I643" s="16">
        <v>1.573887678501338E-2</v>
      </c>
      <c r="J643" s="15">
        <v>69.87</v>
      </c>
      <c r="K643" s="14">
        <v>57</v>
      </c>
      <c r="L643" s="14">
        <v>4</v>
      </c>
      <c r="M643" s="15">
        <v>4.5199999999999996</v>
      </c>
      <c r="N643" s="17">
        <v>63658.98</v>
      </c>
      <c r="O643" s="17">
        <v>3415.6195522926751</v>
      </c>
      <c r="P643" s="17">
        <v>948.16282720161416</v>
      </c>
      <c r="Q643" s="17">
        <v>59295.197620505707</v>
      </c>
      <c r="R643" s="17">
        <v>48419.91</v>
      </c>
      <c r="S643" s="17">
        <v>10875.287620505709</v>
      </c>
      <c r="T643" s="17">
        <v>18.079999999999998</v>
      </c>
    </row>
    <row r="644" spans="1:20" x14ac:dyDescent="0.3">
      <c r="A644" s="13">
        <v>45535</v>
      </c>
      <c r="B644" s="7" t="s">
        <v>121</v>
      </c>
      <c r="C644" s="7" t="s">
        <v>31</v>
      </c>
      <c r="D644" s="7" t="s">
        <v>103</v>
      </c>
      <c r="E644" s="7" t="s">
        <v>25</v>
      </c>
      <c r="F644" s="14">
        <v>758</v>
      </c>
      <c r="G644" s="15">
        <v>218.58</v>
      </c>
      <c r="H644" s="16">
        <v>5.8342687658851179E-2</v>
      </c>
      <c r="I644" s="16">
        <v>2.8698212705153169E-2</v>
      </c>
      <c r="J644" s="15">
        <v>118.9</v>
      </c>
      <c r="K644" s="14">
        <v>523</v>
      </c>
      <c r="L644" s="14">
        <v>200</v>
      </c>
      <c r="M644" s="15">
        <v>20.05</v>
      </c>
      <c r="N644" s="17">
        <v>165683.64000000001</v>
      </c>
      <c r="O644" s="17">
        <v>9666.4288587015417</v>
      </c>
      <c r="P644" s="17">
        <v>4477.4151109977774</v>
      </c>
      <c r="Q644" s="17">
        <v>151539.7960303007</v>
      </c>
      <c r="R644" s="17">
        <v>90126.2</v>
      </c>
      <c r="S644" s="17">
        <v>61413.596030300701</v>
      </c>
      <c r="T644" s="17">
        <v>4010</v>
      </c>
    </row>
    <row r="645" spans="1:20" x14ac:dyDescent="0.3">
      <c r="A645" s="13">
        <v>45535</v>
      </c>
      <c r="B645" s="7" t="s">
        <v>121</v>
      </c>
      <c r="C645" s="7" t="s">
        <v>31</v>
      </c>
      <c r="D645" s="7" t="s">
        <v>103</v>
      </c>
      <c r="E645" s="7" t="s">
        <v>28</v>
      </c>
      <c r="F645" s="14">
        <v>396</v>
      </c>
      <c r="G645" s="15">
        <v>196.15</v>
      </c>
      <c r="H645" s="16">
        <v>8.3201810144745814E-2</v>
      </c>
      <c r="I645" s="16">
        <v>5.7740789780551013E-2</v>
      </c>
      <c r="J645" s="15">
        <v>115.23</v>
      </c>
      <c r="K645" s="14">
        <v>330</v>
      </c>
      <c r="L645" s="14">
        <v>104</v>
      </c>
      <c r="M645" s="15">
        <v>14.35</v>
      </c>
      <c r="N645" s="17">
        <v>77675.400000000009</v>
      </c>
      <c r="O645" s="17">
        <v>6462.7338837171901</v>
      </c>
      <c r="P645" s="17">
        <v>4111.8755839328542</v>
      </c>
      <c r="Q645" s="17">
        <v>67100.790532349973</v>
      </c>
      <c r="R645" s="17">
        <v>45631.08</v>
      </c>
      <c r="S645" s="17">
        <v>21469.710532349971</v>
      </c>
      <c r="T645" s="17">
        <v>1492.4</v>
      </c>
    </row>
    <row r="646" spans="1:20" x14ac:dyDescent="0.3">
      <c r="A646" s="13">
        <v>45535</v>
      </c>
      <c r="B646" s="7" t="s">
        <v>121</v>
      </c>
      <c r="C646" s="7" t="s">
        <v>31</v>
      </c>
      <c r="D646" s="7" t="s">
        <v>103</v>
      </c>
      <c r="E646" s="7" t="s">
        <v>30</v>
      </c>
      <c r="F646" s="14">
        <v>341</v>
      </c>
      <c r="G646" s="15">
        <v>162.88999999999999</v>
      </c>
      <c r="H646" s="16">
        <v>4.3298099117741559E-2</v>
      </c>
      <c r="I646" s="16">
        <v>2.9007150496332439E-2</v>
      </c>
      <c r="J646" s="15">
        <v>113.33</v>
      </c>
      <c r="K646" s="14">
        <v>27</v>
      </c>
      <c r="L646" s="14">
        <v>2</v>
      </c>
      <c r="M646" s="15">
        <v>3.33</v>
      </c>
      <c r="N646" s="17">
        <v>55545.49</v>
      </c>
      <c r="O646" s="17">
        <v>2405.0141315635219</v>
      </c>
      <c r="P646" s="17">
        <v>1541.4537809624589</v>
      </c>
      <c r="Q646" s="17">
        <v>51599.022087474019</v>
      </c>
      <c r="R646" s="17">
        <v>38645.53</v>
      </c>
      <c r="S646" s="17">
        <v>12953.49208747402</v>
      </c>
      <c r="T646" s="17">
        <v>6.66</v>
      </c>
    </row>
    <row r="647" spans="1:20" x14ac:dyDescent="0.3">
      <c r="A647" s="13">
        <v>45535</v>
      </c>
      <c r="B647" s="7" t="s">
        <v>121</v>
      </c>
      <c r="C647" s="7" t="s">
        <v>31</v>
      </c>
      <c r="D647" s="7" t="s">
        <v>104</v>
      </c>
      <c r="E647" s="7" t="s">
        <v>25</v>
      </c>
      <c r="F647" s="14">
        <v>693</v>
      </c>
      <c r="G647" s="15">
        <v>41.2</v>
      </c>
      <c r="H647" s="16">
        <v>5.8194246310571109E-2</v>
      </c>
      <c r="I647" s="16">
        <v>4.3675104105406017E-2</v>
      </c>
      <c r="J647" s="15">
        <v>22.3</v>
      </c>
      <c r="K647" s="14">
        <v>478</v>
      </c>
      <c r="L647" s="14">
        <v>184</v>
      </c>
      <c r="M647" s="15">
        <v>20.74</v>
      </c>
      <c r="N647" s="17">
        <v>28551.599999999999</v>
      </c>
      <c r="O647" s="17">
        <v>1661.538842960902</v>
      </c>
      <c r="P647" s="17">
        <v>1174.426220434417</v>
      </c>
      <c r="Q647" s="17">
        <v>25715.634936604689</v>
      </c>
      <c r="R647" s="17">
        <v>15453.9</v>
      </c>
      <c r="S647" s="17">
        <v>10261.734936604689</v>
      </c>
      <c r="T647" s="17">
        <v>3816.16</v>
      </c>
    </row>
    <row r="648" spans="1:20" x14ac:dyDescent="0.3">
      <c r="A648" s="13">
        <v>45535</v>
      </c>
      <c r="B648" s="7" t="s">
        <v>121</v>
      </c>
      <c r="C648" s="7" t="s">
        <v>31</v>
      </c>
      <c r="D648" s="7" t="s">
        <v>104</v>
      </c>
      <c r="E648" s="7" t="s">
        <v>28</v>
      </c>
      <c r="F648" s="14">
        <v>301</v>
      </c>
      <c r="G648" s="15">
        <v>40.86</v>
      </c>
      <c r="H648" s="16">
        <v>8.1421966616912048E-2</v>
      </c>
      <c r="I648" s="16">
        <v>5.9380609694890757E-2</v>
      </c>
      <c r="J648" s="15">
        <v>21.98</v>
      </c>
      <c r="K648" s="14">
        <v>253</v>
      </c>
      <c r="L648" s="14">
        <v>72</v>
      </c>
      <c r="M648" s="15">
        <v>16.079999999999998</v>
      </c>
      <c r="N648" s="17">
        <v>12298.86</v>
      </c>
      <c r="O648" s="17">
        <v>1001.397368346075</v>
      </c>
      <c r="P648" s="17">
        <v>670.85021907285511</v>
      </c>
      <c r="Q648" s="17">
        <v>10626.612412581069</v>
      </c>
      <c r="R648" s="17">
        <v>6615.98</v>
      </c>
      <c r="S648" s="17">
        <v>4010.6324125810688</v>
      </c>
      <c r="T648" s="17">
        <v>1157.76</v>
      </c>
    </row>
    <row r="649" spans="1:20" x14ac:dyDescent="0.3">
      <c r="A649" s="13">
        <v>45535</v>
      </c>
      <c r="B649" s="7" t="s">
        <v>121</v>
      </c>
      <c r="C649" s="7" t="s">
        <v>31</v>
      </c>
      <c r="D649" s="7" t="s">
        <v>104</v>
      </c>
      <c r="E649" s="7" t="s">
        <v>30</v>
      </c>
      <c r="F649" s="14">
        <v>185</v>
      </c>
      <c r="G649" s="15">
        <v>33.880000000000003</v>
      </c>
      <c r="H649" s="16">
        <v>3.4921394191246131E-2</v>
      </c>
      <c r="I649" s="16">
        <v>2.4628361047513609E-2</v>
      </c>
      <c r="J649" s="15">
        <v>21.41</v>
      </c>
      <c r="K649" s="14">
        <v>15</v>
      </c>
      <c r="L649" s="14">
        <v>1</v>
      </c>
      <c r="M649" s="15">
        <v>4.54</v>
      </c>
      <c r="N649" s="17">
        <v>6267.8</v>
      </c>
      <c r="O649" s="17">
        <v>218.88031451189249</v>
      </c>
      <c r="P649" s="17">
        <v>148.9749779616136</v>
      </c>
      <c r="Q649" s="17">
        <v>5899.9447075264943</v>
      </c>
      <c r="R649" s="17">
        <v>3960.85</v>
      </c>
      <c r="S649" s="17">
        <v>1939.0947075264939</v>
      </c>
      <c r="T649" s="17">
        <v>4.54</v>
      </c>
    </row>
    <row r="650" spans="1:20" x14ac:dyDescent="0.3">
      <c r="A650" s="13">
        <v>45565</v>
      </c>
      <c r="B650" s="7" t="s">
        <v>122</v>
      </c>
      <c r="C650" s="7" t="s">
        <v>24</v>
      </c>
      <c r="D650" s="7" t="s">
        <v>102</v>
      </c>
      <c r="E650" s="7" t="s">
        <v>25</v>
      </c>
      <c r="F650" s="14">
        <v>9318</v>
      </c>
      <c r="G650" s="15">
        <v>130.32</v>
      </c>
      <c r="H650" s="16">
        <v>5.5446304209109301E-2</v>
      </c>
      <c r="I650" s="16">
        <v>2.9741318940305239E-2</v>
      </c>
      <c r="J650" s="15">
        <v>72.7</v>
      </c>
      <c r="K650" s="14">
        <v>7038</v>
      </c>
      <c r="L650" s="14">
        <v>2807</v>
      </c>
      <c r="M650" s="15">
        <v>32.619999999999997</v>
      </c>
      <c r="N650" s="17">
        <v>1214321.76</v>
      </c>
      <c r="O650" s="17">
        <v>67329.653712701009</v>
      </c>
      <c r="P650" s="17">
        <v>34113.058055103043</v>
      </c>
      <c r="Q650" s="17">
        <v>1112879.0482321959</v>
      </c>
      <c r="R650" s="17">
        <v>677418.6</v>
      </c>
      <c r="S650" s="17">
        <v>435460.44823219592</v>
      </c>
      <c r="T650" s="17">
        <v>91564.34</v>
      </c>
    </row>
    <row r="651" spans="1:20" x14ac:dyDescent="0.3">
      <c r="A651" s="13">
        <v>45565</v>
      </c>
      <c r="B651" s="7" t="s">
        <v>122</v>
      </c>
      <c r="C651" s="7" t="s">
        <v>24</v>
      </c>
      <c r="D651" s="7" t="s">
        <v>102</v>
      </c>
      <c r="E651" s="7" t="s">
        <v>28</v>
      </c>
      <c r="F651" s="14">
        <v>3036</v>
      </c>
      <c r="G651" s="15">
        <v>120.12</v>
      </c>
      <c r="H651" s="16">
        <v>9.680788602068767E-2</v>
      </c>
      <c r="I651" s="16">
        <v>6.4364470952061645E-2</v>
      </c>
      <c r="J651" s="15">
        <v>71.459999999999994</v>
      </c>
      <c r="K651" s="14">
        <v>2512</v>
      </c>
      <c r="L651" s="14">
        <v>772</v>
      </c>
      <c r="M651" s="15">
        <v>16.329999999999998</v>
      </c>
      <c r="N651" s="17">
        <v>364684.32</v>
      </c>
      <c r="O651" s="17">
        <v>35304.318084091989</v>
      </c>
      <c r="P651" s="17">
        <v>21200.369565506469</v>
      </c>
      <c r="Q651" s="17">
        <v>308179.63235040149</v>
      </c>
      <c r="R651" s="17">
        <v>216952.56</v>
      </c>
      <c r="S651" s="17">
        <v>91227.072350401577</v>
      </c>
      <c r="T651" s="17">
        <v>12606.76</v>
      </c>
    </row>
    <row r="652" spans="1:20" x14ac:dyDescent="0.3">
      <c r="A652" s="13">
        <v>45565</v>
      </c>
      <c r="B652" s="7" t="s">
        <v>122</v>
      </c>
      <c r="C652" s="7" t="s">
        <v>24</v>
      </c>
      <c r="D652" s="7" t="s">
        <v>102</v>
      </c>
      <c r="E652" s="7" t="s">
        <v>30</v>
      </c>
      <c r="F652" s="14">
        <v>2377</v>
      </c>
      <c r="G652" s="15">
        <v>103.27</v>
      </c>
      <c r="H652" s="16">
        <v>3.4427247511285251E-2</v>
      </c>
      <c r="I652" s="16">
        <v>3.4678289511638892E-2</v>
      </c>
      <c r="J652" s="15">
        <v>70.23</v>
      </c>
      <c r="K652" s="14">
        <v>212</v>
      </c>
      <c r="L652" s="14">
        <v>13</v>
      </c>
      <c r="M652" s="15">
        <v>4.6100000000000003</v>
      </c>
      <c r="N652" s="17">
        <v>245472.79</v>
      </c>
      <c r="O652" s="17">
        <v>8450.9524986157467</v>
      </c>
      <c r="P652" s="17">
        <v>8219.5119014536303</v>
      </c>
      <c r="Q652" s="17">
        <v>228802.3255999306</v>
      </c>
      <c r="R652" s="17">
        <v>166936.71</v>
      </c>
      <c r="S652" s="17">
        <v>61865.615599930577</v>
      </c>
      <c r="T652" s="17">
        <v>59.930000000000007</v>
      </c>
    </row>
    <row r="653" spans="1:20" x14ac:dyDescent="0.3">
      <c r="A653" s="13">
        <v>45565</v>
      </c>
      <c r="B653" s="7" t="s">
        <v>122</v>
      </c>
      <c r="C653" s="7" t="s">
        <v>24</v>
      </c>
      <c r="D653" s="7" t="s">
        <v>103</v>
      </c>
      <c r="E653" s="7" t="s">
        <v>25</v>
      </c>
      <c r="F653" s="14">
        <v>3973</v>
      </c>
      <c r="G653" s="15">
        <v>242.68</v>
      </c>
      <c r="H653" s="16">
        <v>6.45554188991464E-2</v>
      </c>
      <c r="I653" s="16">
        <v>2.943969200033332E-2</v>
      </c>
      <c r="J653" s="15">
        <v>123.44</v>
      </c>
      <c r="K653" s="14">
        <v>2806</v>
      </c>
      <c r="L653" s="14">
        <v>1128</v>
      </c>
      <c r="M653" s="15">
        <v>33.770000000000003</v>
      </c>
      <c r="N653" s="17">
        <v>964167.64</v>
      </c>
      <c r="O653" s="17">
        <v>62242.245889201382</v>
      </c>
      <c r="P653" s="17">
        <v>26552.40580990116</v>
      </c>
      <c r="Q653" s="17">
        <v>875372.98830089741</v>
      </c>
      <c r="R653" s="17">
        <v>490427.12</v>
      </c>
      <c r="S653" s="17">
        <v>384945.86830089742</v>
      </c>
      <c r="T653" s="17">
        <v>38092.559999999998</v>
      </c>
    </row>
    <row r="654" spans="1:20" x14ac:dyDescent="0.3">
      <c r="A654" s="13">
        <v>45565</v>
      </c>
      <c r="B654" s="7" t="s">
        <v>122</v>
      </c>
      <c r="C654" s="7" t="s">
        <v>24</v>
      </c>
      <c r="D654" s="7" t="s">
        <v>103</v>
      </c>
      <c r="E654" s="7" t="s">
        <v>28</v>
      </c>
      <c r="F654" s="14">
        <v>2432</v>
      </c>
      <c r="G654" s="15">
        <v>219.24</v>
      </c>
      <c r="H654" s="16">
        <v>0.101310712225598</v>
      </c>
      <c r="I654" s="16">
        <v>5.8470079250461021E-2</v>
      </c>
      <c r="J654" s="15">
        <v>121.25</v>
      </c>
      <c r="K654" s="14">
        <v>1913</v>
      </c>
      <c r="L654" s="14">
        <v>615</v>
      </c>
      <c r="M654" s="15">
        <v>20.43</v>
      </c>
      <c r="N654" s="17">
        <v>533191.68000000005</v>
      </c>
      <c r="O654" s="17">
        <v>54018.028853563133</v>
      </c>
      <c r="P654" s="17">
        <v>28017.321357264929</v>
      </c>
      <c r="Q654" s="17">
        <v>451156.32978917198</v>
      </c>
      <c r="R654" s="17">
        <v>294880</v>
      </c>
      <c r="S654" s="17">
        <v>156276.32978917201</v>
      </c>
      <c r="T654" s="17">
        <v>12564.45</v>
      </c>
    </row>
    <row r="655" spans="1:20" x14ac:dyDescent="0.3">
      <c r="A655" s="13">
        <v>45565</v>
      </c>
      <c r="B655" s="7" t="s">
        <v>122</v>
      </c>
      <c r="C655" s="7" t="s">
        <v>24</v>
      </c>
      <c r="D655" s="7" t="s">
        <v>103</v>
      </c>
      <c r="E655" s="7" t="s">
        <v>30</v>
      </c>
      <c r="F655" s="14">
        <v>1508</v>
      </c>
      <c r="G655" s="15">
        <v>187.54</v>
      </c>
      <c r="H655" s="16">
        <v>3.064727802985695E-2</v>
      </c>
      <c r="I655" s="16">
        <v>2.4096866340697031E-2</v>
      </c>
      <c r="J655" s="15">
        <v>125.98</v>
      </c>
      <c r="K655" s="14">
        <v>131</v>
      </c>
      <c r="L655" s="14">
        <v>8</v>
      </c>
      <c r="M655" s="15">
        <v>4.13</v>
      </c>
      <c r="N655" s="17">
        <v>282810.32</v>
      </c>
      <c r="O655" s="17">
        <v>8667.3665067528145</v>
      </c>
      <c r="P655" s="17">
        <v>6605.9861085707007</v>
      </c>
      <c r="Q655" s="17">
        <v>267536.96738467651</v>
      </c>
      <c r="R655" s="17">
        <v>189977.84</v>
      </c>
      <c r="S655" s="17">
        <v>77559.127384676511</v>
      </c>
      <c r="T655" s="17">
        <v>33.04</v>
      </c>
    </row>
    <row r="656" spans="1:20" x14ac:dyDescent="0.3">
      <c r="A656" s="13">
        <v>45565</v>
      </c>
      <c r="B656" s="7" t="s">
        <v>122</v>
      </c>
      <c r="C656" s="7" t="s">
        <v>24</v>
      </c>
      <c r="D656" s="7" t="s">
        <v>104</v>
      </c>
      <c r="E656" s="7" t="s">
        <v>25</v>
      </c>
      <c r="F656" s="14">
        <v>2677</v>
      </c>
      <c r="G656" s="15">
        <v>46.52</v>
      </c>
      <c r="H656" s="16">
        <v>4.9795526788742807E-2</v>
      </c>
      <c r="I656" s="16">
        <v>3.5875209881120633E-2</v>
      </c>
      <c r="J656" s="15">
        <v>22.3</v>
      </c>
      <c r="K656" s="14">
        <v>1812</v>
      </c>
      <c r="L656" s="14">
        <v>627</v>
      </c>
      <c r="M656" s="15">
        <v>22.63</v>
      </c>
      <c r="N656" s="17">
        <v>124534.04</v>
      </c>
      <c r="O656" s="17">
        <v>6201.2381249303689</v>
      </c>
      <c r="P656" s="17">
        <v>4245.214103089188</v>
      </c>
      <c r="Q656" s="17">
        <v>114087.5877719804</v>
      </c>
      <c r="R656" s="17">
        <v>59697.1</v>
      </c>
      <c r="S656" s="17">
        <v>54390.487771980443</v>
      </c>
      <c r="T656" s="17">
        <v>14189.01</v>
      </c>
    </row>
    <row r="657" spans="1:20" x14ac:dyDescent="0.3">
      <c r="A657" s="13">
        <v>45565</v>
      </c>
      <c r="B657" s="7" t="s">
        <v>122</v>
      </c>
      <c r="C657" s="7" t="s">
        <v>24</v>
      </c>
      <c r="D657" s="7" t="s">
        <v>104</v>
      </c>
      <c r="E657" s="7" t="s">
        <v>28</v>
      </c>
      <c r="F657" s="14">
        <v>1929</v>
      </c>
      <c r="G657" s="15">
        <v>44.95</v>
      </c>
      <c r="H657" s="16">
        <v>9.563577871258748E-2</v>
      </c>
      <c r="I657" s="16">
        <v>7.7866287821602154E-2</v>
      </c>
      <c r="J657" s="15">
        <v>22.25</v>
      </c>
      <c r="K657" s="14">
        <v>1688</v>
      </c>
      <c r="L657" s="14">
        <v>483</v>
      </c>
      <c r="M657" s="15">
        <v>21.54</v>
      </c>
      <c r="N657" s="17">
        <v>86708.55</v>
      </c>
      <c r="O657" s="17">
        <v>8292.4397002893274</v>
      </c>
      <c r="P657" s="17">
        <v>6105.971414447773</v>
      </c>
      <c r="Q657" s="17">
        <v>72310.138885262902</v>
      </c>
      <c r="R657" s="17">
        <v>42920.25</v>
      </c>
      <c r="S657" s="17">
        <v>29389.888885262899</v>
      </c>
      <c r="T657" s="17">
        <v>10403.82</v>
      </c>
    </row>
    <row r="658" spans="1:20" x14ac:dyDescent="0.3">
      <c r="A658" s="13">
        <v>45565</v>
      </c>
      <c r="B658" s="7" t="s">
        <v>122</v>
      </c>
      <c r="C658" s="7" t="s">
        <v>24</v>
      </c>
      <c r="D658" s="7" t="s">
        <v>104</v>
      </c>
      <c r="E658" s="7" t="s">
        <v>30</v>
      </c>
      <c r="F658" s="14">
        <v>972</v>
      </c>
      <c r="G658" s="15">
        <v>40.200000000000003</v>
      </c>
      <c r="H658" s="16">
        <v>5.5527453841184113E-2</v>
      </c>
      <c r="I658" s="16">
        <v>1.400137367454893E-2</v>
      </c>
      <c r="J658" s="15">
        <v>23.28</v>
      </c>
      <c r="K658" s="14">
        <v>77</v>
      </c>
      <c r="L658" s="14">
        <v>5</v>
      </c>
      <c r="M658" s="15">
        <v>4.63</v>
      </c>
      <c r="N658" s="17">
        <v>39074.400000000001</v>
      </c>
      <c r="O658" s="17">
        <v>2169.7019423719639</v>
      </c>
      <c r="P658" s="17">
        <v>516.71646785125029</v>
      </c>
      <c r="Q658" s="17">
        <v>36387.981589776791</v>
      </c>
      <c r="R658" s="17">
        <v>22628.16</v>
      </c>
      <c r="S658" s="17">
        <v>13759.82158977679</v>
      </c>
      <c r="T658" s="17">
        <v>23.15</v>
      </c>
    </row>
    <row r="659" spans="1:20" x14ac:dyDescent="0.3">
      <c r="A659" s="13">
        <v>45565</v>
      </c>
      <c r="B659" s="7" t="s">
        <v>122</v>
      </c>
      <c r="C659" s="7" t="s">
        <v>27</v>
      </c>
      <c r="D659" s="7" t="s">
        <v>102</v>
      </c>
      <c r="E659" s="7" t="s">
        <v>25</v>
      </c>
      <c r="F659" s="14">
        <v>6538</v>
      </c>
      <c r="G659" s="15">
        <v>134.13</v>
      </c>
      <c r="H659" s="16">
        <v>6.0710676411012757E-2</v>
      </c>
      <c r="I659" s="16">
        <v>3.3589187334616452E-2</v>
      </c>
      <c r="J659" s="15">
        <v>76.959999999999994</v>
      </c>
      <c r="K659" s="14">
        <v>4244</v>
      </c>
      <c r="L659" s="14">
        <v>1491</v>
      </c>
      <c r="M659" s="15">
        <v>37.909999999999997</v>
      </c>
      <c r="N659" s="17">
        <v>876941.94</v>
      </c>
      <c r="O659" s="17">
        <v>53239.738350585772</v>
      </c>
      <c r="P659" s="17">
        <v>27667.487559138179</v>
      </c>
      <c r="Q659" s="17">
        <v>796034.71409027593</v>
      </c>
      <c r="R659" s="17">
        <v>503164.48</v>
      </c>
      <c r="S659" s="17">
        <v>292870.23409027589</v>
      </c>
      <c r="T659" s="17">
        <v>56523.81</v>
      </c>
    </row>
    <row r="660" spans="1:20" x14ac:dyDescent="0.3">
      <c r="A660" s="13">
        <v>45565</v>
      </c>
      <c r="B660" s="7" t="s">
        <v>122</v>
      </c>
      <c r="C660" s="7" t="s">
        <v>27</v>
      </c>
      <c r="D660" s="7" t="s">
        <v>102</v>
      </c>
      <c r="E660" s="7" t="s">
        <v>28</v>
      </c>
      <c r="F660" s="14">
        <v>2875</v>
      </c>
      <c r="G660" s="15">
        <v>124.66</v>
      </c>
      <c r="H660" s="16">
        <v>0.1084055829327676</v>
      </c>
      <c r="I660" s="16">
        <v>5.0922656465910043E-2</v>
      </c>
      <c r="J660" s="15">
        <v>77.53</v>
      </c>
      <c r="K660" s="14">
        <v>2551</v>
      </c>
      <c r="L660" s="14">
        <v>784</v>
      </c>
      <c r="M660" s="15">
        <v>23.1</v>
      </c>
      <c r="N660" s="17">
        <v>358397.5</v>
      </c>
      <c r="O660" s="17">
        <v>38852.289909146573</v>
      </c>
      <c r="P660" s="17">
        <v>16272.090958783579</v>
      </c>
      <c r="Q660" s="17">
        <v>303273.11913206993</v>
      </c>
      <c r="R660" s="17">
        <v>222898.75</v>
      </c>
      <c r="S660" s="17">
        <v>80374.369132069871</v>
      </c>
      <c r="T660" s="17">
        <v>18110.400000000001</v>
      </c>
    </row>
    <row r="661" spans="1:20" x14ac:dyDescent="0.3">
      <c r="A661" s="13">
        <v>45565</v>
      </c>
      <c r="B661" s="7" t="s">
        <v>122</v>
      </c>
      <c r="C661" s="7" t="s">
        <v>27</v>
      </c>
      <c r="D661" s="7" t="s">
        <v>102</v>
      </c>
      <c r="E661" s="7" t="s">
        <v>30</v>
      </c>
      <c r="F661" s="14">
        <v>2242</v>
      </c>
      <c r="G661" s="15">
        <v>115.87</v>
      </c>
      <c r="H661" s="16">
        <v>3.8985263886143103E-2</v>
      </c>
      <c r="I661" s="16">
        <v>2.0397867674710829E-2</v>
      </c>
      <c r="J661" s="15">
        <v>77.180000000000007</v>
      </c>
      <c r="K661" s="14">
        <v>176</v>
      </c>
      <c r="L661" s="14">
        <v>10</v>
      </c>
      <c r="M661" s="15">
        <v>5.63</v>
      </c>
      <c r="N661" s="17">
        <v>259780.54</v>
      </c>
      <c r="O661" s="17">
        <v>10127.61290438475</v>
      </c>
      <c r="P661" s="17">
        <v>5092.3873715005893</v>
      </c>
      <c r="Q661" s="17">
        <v>244560.5397241147</v>
      </c>
      <c r="R661" s="17">
        <v>173037.56</v>
      </c>
      <c r="S661" s="17">
        <v>71522.979724114644</v>
      </c>
      <c r="T661" s="17">
        <v>56.3</v>
      </c>
    </row>
    <row r="662" spans="1:20" x14ac:dyDescent="0.3">
      <c r="A662" s="13">
        <v>45565</v>
      </c>
      <c r="B662" s="7" t="s">
        <v>122</v>
      </c>
      <c r="C662" s="7" t="s">
        <v>27</v>
      </c>
      <c r="D662" s="7" t="s">
        <v>103</v>
      </c>
      <c r="E662" s="7" t="s">
        <v>25</v>
      </c>
      <c r="F662" s="14">
        <v>2714</v>
      </c>
      <c r="G662" s="15">
        <v>256.14</v>
      </c>
      <c r="H662" s="16">
        <v>6.4982125779610142E-2</v>
      </c>
      <c r="I662" s="16">
        <v>3.7426999993822103E-2</v>
      </c>
      <c r="J662" s="15">
        <v>133.57</v>
      </c>
      <c r="K662" s="14">
        <v>1856</v>
      </c>
      <c r="L662" s="14">
        <v>692</v>
      </c>
      <c r="M662" s="15">
        <v>31.26</v>
      </c>
      <c r="N662" s="17">
        <v>695163.96</v>
      </c>
      <c r="O662" s="17">
        <v>45173.231886171867</v>
      </c>
      <c r="P662" s="17">
        <v>24327.202977100671</v>
      </c>
      <c r="Q662" s="17">
        <v>625663.52513672749</v>
      </c>
      <c r="R662" s="17">
        <v>362508.98</v>
      </c>
      <c r="S662" s="17">
        <v>263154.54513672751</v>
      </c>
      <c r="T662" s="17">
        <v>21631.919999999998</v>
      </c>
    </row>
    <row r="663" spans="1:20" x14ac:dyDescent="0.3">
      <c r="A663" s="13">
        <v>45565</v>
      </c>
      <c r="B663" s="7" t="s">
        <v>122</v>
      </c>
      <c r="C663" s="7" t="s">
        <v>27</v>
      </c>
      <c r="D663" s="7" t="s">
        <v>103</v>
      </c>
      <c r="E663" s="7" t="s">
        <v>28</v>
      </c>
      <c r="F663" s="14">
        <v>1006</v>
      </c>
      <c r="G663" s="15">
        <v>234.11</v>
      </c>
      <c r="H663" s="16">
        <v>0.10665527775753859</v>
      </c>
      <c r="I663" s="16">
        <v>4.7923572284542373E-2</v>
      </c>
      <c r="J663" s="15">
        <v>130.1</v>
      </c>
      <c r="K663" s="14">
        <v>813</v>
      </c>
      <c r="L663" s="14">
        <v>230</v>
      </c>
      <c r="M663" s="15">
        <v>15.87</v>
      </c>
      <c r="N663" s="17">
        <v>235514.66</v>
      </c>
      <c r="O663" s="17">
        <v>25118.881478272269</v>
      </c>
      <c r="P663" s="17">
        <v>10082.917300348579</v>
      </c>
      <c r="Q663" s="17">
        <v>200312.86122137919</v>
      </c>
      <c r="R663" s="17">
        <v>130880.6</v>
      </c>
      <c r="S663" s="17">
        <v>69432.261221379173</v>
      </c>
      <c r="T663" s="17">
        <v>3650.1</v>
      </c>
    </row>
    <row r="664" spans="1:20" x14ac:dyDescent="0.3">
      <c r="A664" s="13">
        <v>45565</v>
      </c>
      <c r="B664" s="7" t="s">
        <v>122</v>
      </c>
      <c r="C664" s="7" t="s">
        <v>27</v>
      </c>
      <c r="D664" s="7" t="s">
        <v>103</v>
      </c>
      <c r="E664" s="7" t="s">
        <v>30</v>
      </c>
      <c r="F664" s="14">
        <v>896</v>
      </c>
      <c r="G664" s="15">
        <v>204.63</v>
      </c>
      <c r="H664" s="16">
        <v>4.324172766421417E-2</v>
      </c>
      <c r="I664" s="16">
        <v>2.111640456627685E-2</v>
      </c>
      <c r="J664" s="15">
        <v>124.72</v>
      </c>
      <c r="K664" s="14">
        <v>70</v>
      </c>
      <c r="L664" s="14">
        <v>4</v>
      </c>
      <c r="M664" s="15">
        <v>5.98</v>
      </c>
      <c r="N664" s="17">
        <v>183348.48000000001</v>
      </c>
      <c r="O664" s="17">
        <v>7928.3050398076184</v>
      </c>
      <c r="P664" s="17">
        <v>3704.2433835464899</v>
      </c>
      <c r="Q664" s="17">
        <v>171715.9315766459</v>
      </c>
      <c r="R664" s="17">
        <v>111749.12</v>
      </c>
      <c r="S664" s="17">
        <v>59966.81157664588</v>
      </c>
      <c r="T664" s="17">
        <v>23.92</v>
      </c>
    </row>
    <row r="665" spans="1:20" x14ac:dyDescent="0.3">
      <c r="A665" s="13">
        <v>45565</v>
      </c>
      <c r="B665" s="7" t="s">
        <v>122</v>
      </c>
      <c r="C665" s="7" t="s">
        <v>27</v>
      </c>
      <c r="D665" s="7" t="s">
        <v>104</v>
      </c>
      <c r="E665" s="7" t="s">
        <v>25</v>
      </c>
      <c r="F665" s="14">
        <v>2144</v>
      </c>
      <c r="G665" s="15">
        <v>50.63</v>
      </c>
      <c r="H665" s="16">
        <v>6.1960221057738539E-2</v>
      </c>
      <c r="I665" s="16">
        <v>4.4755884359285833E-2</v>
      </c>
      <c r="J665" s="15">
        <v>22.47</v>
      </c>
      <c r="K665" s="14">
        <v>1490</v>
      </c>
      <c r="L665" s="14">
        <v>566</v>
      </c>
      <c r="M665" s="15">
        <v>28.9</v>
      </c>
      <c r="N665" s="17">
        <v>108550.72</v>
      </c>
      <c r="O665" s="17">
        <v>6725.8266071766802</v>
      </c>
      <c r="P665" s="17">
        <v>4557.2631535858081</v>
      </c>
      <c r="Q665" s="17">
        <v>97267.630239237507</v>
      </c>
      <c r="R665" s="17">
        <v>48175.68</v>
      </c>
      <c r="S665" s="17">
        <v>49091.950239237507</v>
      </c>
      <c r="T665" s="17">
        <v>16357.4</v>
      </c>
    </row>
    <row r="666" spans="1:20" x14ac:dyDescent="0.3">
      <c r="A666" s="13">
        <v>45565</v>
      </c>
      <c r="B666" s="7" t="s">
        <v>122</v>
      </c>
      <c r="C666" s="7" t="s">
        <v>27</v>
      </c>
      <c r="D666" s="7" t="s">
        <v>104</v>
      </c>
      <c r="E666" s="7" t="s">
        <v>28</v>
      </c>
      <c r="F666" s="14">
        <v>896</v>
      </c>
      <c r="G666" s="15">
        <v>47.28</v>
      </c>
      <c r="H666" s="16">
        <v>8.3277515067959135E-2</v>
      </c>
      <c r="I666" s="16">
        <v>5.2311988340301742E-2</v>
      </c>
      <c r="J666" s="15">
        <v>23.15</v>
      </c>
      <c r="K666" s="14">
        <v>754</v>
      </c>
      <c r="L666" s="14">
        <v>242</v>
      </c>
      <c r="M666" s="15">
        <v>16.88</v>
      </c>
      <c r="N666" s="17">
        <v>42362.879999999997</v>
      </c>
      <c r="O666" s="17">
        <v>3527.8753775221448</v>
      </c>
      <c r="P666" s="17">
        <v>2031.536309006626</v>
      </c>
      <c r="Q666" s="17">
        <v>36803.46831347124</v>
      </c>
      <c r="R666" s="17">
        <v>20742.400000000001</v>
      </c>
      <c r="S666" s="17">
        <v>16061.06831347124</v>
      </c>
      <c r="T666" s="17">
        <v>4084.96</v>
      </c>
    </row>
    <row r="667" spans="1:20" x14ac:dyDescent="0.3">
      <c r="A667" s="13">
        <v>45565</v>
      </c>
      <c r="B667" s="7" t="s">
        <v>122</v>
      </c>
      <c r="C667" s="7" t="s">
        <v>27</v>
      </c>
      <c r="D667" s="7" t="s">
        <v>104</v>
      </c>
      <c r="E667" s="7" t="s">
        <v>30</v>
      </c>
      <c r="F667" s="14">
        <v>863</v>
      </c>
      <c r="G667" s="15">
        <v>40.270000000000003</v>
      </c>
      <c r="H667" s="16">
        <v>3.6631972021346763E-2</v>
      </c>
      <c r="I667" s="16">
        <v>1.835255349891007E-2</v>
      </c>
      <c r="J667" s="15">
        <v>24.91</v>
      </c>
      <c r="K667" s="14">
        <v>69</v>
      </c>
      <c r="L667" s="14">
        <v>4</v>
      </c>
      <c r="M667" s="15">
        <v>4.75</v>
      </c>
      <c r="N667" s="17">
        <v>34753.01</v>
      </c>
      <c r="O667" s="17">
        <v>1273.071289977584</v>
      </c>
      <c r="P667" s="17">
        <v>614.44236631591662</v>
      </c>
      <c r="Q667" s="17">
        <v>32865.496343706502</v>
      </c>
      <c r="R667" s="17">
        <v>21497.33</v>
      </c>
      <c r="S667" s="17">
        <v>11368.1663437065</v>
      </c>
      <c r="T667" s="17">
        <v>19</v>
      </c>
    </row>
    <row r="668" spans="1:20" x14ac:dyDescent="0.3">
      <c r="A668" s="13">
        <v>45565</v>
      </c>
      <c r="B668" s="7" t="s">
        <v>122</v>
      </c>
      <c r="C668" s="7" t="s">
        <v>29</v>
      </c>
      <c r="D668" s="7" t="s">
        <v>102</v>
      </c>
      <c r="E668" s="7" t="s">
        <v>25</v>
      </c>
      <c r="F668" s="14">
        <v>3002</v>
      </c>
      <c r="G668" s="15">
        <v>122.16</v>
      </c>
      <c r="H668" s="16">
        <v>6.3379102718645275E-2</v>
      </c>
      <c r="I668" s="16">
        <v>4.1675701058009898E-2</v>
      </c>
      <c r="J668" s="15">
        <v>73.59</v>
      </c>
      <c r="K668" s="14">
        <v>1905</v>
      </c>
      <c r="L668" s="14">
        <v>725</v>
      </c>
      <c r="M668" s="15">
        <v>28.89</v>
      </c>
      <c r="N668" s="17">
        <v>366724.32</v>
      </c>
      <c r="O668" s="17">
        <v>23242.658346705339</v>
      </c>
      <c r="P668" s="17">
        <v>14314.83904997121</v>
      </c>
      <c r="Q668" s="17">
        <v>329166.8226033235</v>
      </c>
      <c r="R668" s="17">
        <v>220917.18</v>
      </c>
      <c r="S668" s="17">
        <v>108249.6426033235</v>
      </c>
      <c r="T668" s="17">
        <v>20945.25</v>
      </c>
    </row>
    <row r="669" spans="1:20" x14ac:dyDescent="0.3">
      <c r="A669" s="13">
        <v>45565</v>
      </c>
      <c r="B669" s="7" t="s">
        <v>122</v>
      </c>
      <c r="C669" s="7" t="s">
        <v>29</v>
      </c>
      <c r="D669" s="7" t="s">
        <v>102</v>
      </c>
      <c r="E669" s="7" t="s">
        <v>28</v>
      </c>
      <c r="F669" s="14">
        <v>2382</v>
      </c>
      <c r="G669" s="15">
        <v>107.99</v>
      </c>
      <c r="H669" s="16">
        <v>8.6289588440957812E-2</v>
      </c>
      <c r="I669" s="16">
        <v>5.9306081741004858E-2</v>
      </c>
      <c r="J669" s="15">
        <v>71.36</v>
      </c>
      <c r="K669" s="14">
        <v>1855</v>
      </c>
      <c r="L669" s="14">
        <v>526</v>
      </c>
      <c r="M669" s="15">
        <v>18.2</v>
      </c>
      <c r="N669" s="17">
        <v>257232.18</v>
      </c>
      <c r="O669" s="17">
        <v>22196.458945970378</v>
      </c>
      <c r="P669" s="17">
        <v>13939.0476848863</v>
      </c>
      <c r="Q669" s="17">
        <v>221096.6733691433</v>
      </c>
      <c r="R669" s="17">
        <v>169979.51999999999</v>
      </c>
      <c r="S669" s="17">
        <v>51117.153369143343</v>
      </c>
      <c r="T669" s="17">
        <v>9573.1999999999989</v>
      </c>
    </row>
    <row r="670" spans="1:20" x14ac:dyDescent="0.3">
      <c r="A670" s="13">
        <v>45565</v>
      </c>
      <c r="B670" s="7" t="s">
        <v>122</v>
      </c>
      <c r="C670" s="7" t="s">
        <v>29</v>
      </c>
      <c r="D670" s="7" t="s">
        <v>102</v>
      </c>
      <c r="E670" s="7" t="s">
        <v>30</v>
      </c>
      <c r="F670" s="14">
        <v>1373</v>
      </c>
      <c r="G670" s="15">
        <v>102.02</v>
      </c>
      <c r="H670" s="16">
        <v>3.8178243562611999E-2</v>
      </c>
      <c r="I670" s="16">
        <v>1.7555569404781549E-2</v>
      </c>
      <c r="J670" s="15">
        <v>74.5</v>
      </c>
      <c r="K670" s="14">
        <v>114</v>
      </c>
      <c r="L670" s="14">
        <v>6</v>
      </c>
      <c r="M670" s="15">
        <v>3.88</v>
      </c>
      <c r="N670" s="17">
        <v>140073.46</v>
      </c>
      <c r="O670" s="17">
        <v>5347.7586725377887</v>
      </c>
      <c r="P670" s="17">
        <v>2365.1864002621319</v>
      </c>
      <c r="Q670" s="17">
        <v>132360.5149272001</v>
      </c>
      <c r="R670" s="17">
        <v>102288.5</v>
      </c>
      <c r="S670" s="17">
        <v>30072.014927200071</v>
      </c>
      <c r="T670" s="17">
        <v>23.28</v>
      </c>
    </row>
    <row r="671" spans="1:20" x14ac:dyDescent="0.3">
      <c r="A671" s="13">
        <v>45565</v>
      </c>
      <c r="B671" s="7" t="s">
        <v>122</v>
      </c>
      <c r="C671" s="7" t="s">
        <v>29</v>
      </c>
      <c r="D671" s="7" t="s">
        <v>103</v>
      </c>
      <c r="E671" s="7" t="s">
        <v>25</v>
      </c>
      <c r="F671" s="14">
        <v>1656</v>
      </c>
      <c r="G671" s="15">
        <v>222.96</v>
      </c>
      <c r="H671" s="16">
        <v>6.6657079213060508E-2</v>
      </c>
      <c r="I671" s="16">
        <v>6.5719953174949691E-2</v>
      </c>
      <c r="J671" s="15">
        <v>113.68</v>
      </c>
      <c r="K671" s="14">
        <v>1092</v>
      </c>
      <c r="L671" s="14">
        <v>413</v>
      </c>
      <c r="M671" s="15">
        <v>35.51</v>
      </c>
      <c r="N671" s="17">
        <v>369221.76</v>
      </c>
      <c r="O671" s="17">
        <v>24611.244103505611</v>
      </c>
      <c r="P671" s="17">
        <v>22647.78696831287</v>
      </c>
      <c r="Q671" s="17">
        <v>321962.72892818152</v>
      </c>
      <c r="R671" s="17">
        <v>188254.07999999999</v>
      </c>
      <c r="S671" s="17">
        <v>133708.6489281815</v>
      </c>
      <c r="T671" s="17">
        <v>14665.63</v>
      </c>
    </row>
    <row r="672" spans="1:20" x14ac:dyDescent="0.3">
      <c r="A672" s="13">
        <v>45565</v>
      </c>
      <c r="B672" s="7" t="s">
        <v>122</v>
      </c>
      <c r="C672" s="7" t="s">
        <v>29</v>
      </c>
      <c r="D672" s="7" t="s">
        <v>103</v>
      </c>
      <c r="E672" s="7" t="s">
        <v>28</v>
      </c>
      <c r="F672" s="14">
        <v>834</v>
      </c>
      <c r="G672" s="15">
        <v>202.63</v>
      </c>
      <c r="H672" s="16">
        <v>0.1127410852671466</v>
      </c>
      <c r="I672" s="16">
        <v>7.2634459905208532E-2</v>
      </c>
      <c r="J672" s="15">
        <v>121.99</v>
      </c>
      <c r="K672" s="14">
        <v>679</v>
      </c>
      <c r="L672" s="14">
        <v>196</v>
      </c>
      <c r="M672" s="15">
        <v>22.38</v>
      </c>
      <c r="N672" s="17">
        <v>168993.42</v>
      </c>
      <c r="O672" s="17">
        <v>19052.50157380672</v>
      </c>
      <c r="P672" s="17">
        <v>10890.87762757748</v>
      </c>
      <c r="Q672" s="17">
        <v>139050.04079861581</v>
      </c>
      <c r="R672" s="17">
        <v>101739.66</v>
      </c>
      <c r="S672" s="17">
        <v>37310.380798615792</v>
      </c>
      <c r="T672" s="17">
        <v>4386.4799999999996</v>
      </c>
    </row>
    <row r="673" spans="1:20" x14ac:dyDescent="0.3">
      <c r="A673" s="13">
        <v>45565</v>
      </c>
      <c r="B673" s="7" t="s">
        <v>122</v>
      </c>
      <c r="C673" s="7" t="s">
        <v>29</v>
      </c>
      <c r="D673" s="7" t="s">
        <v>103</v>
      </c>
      <c r="E673" s="7" t="s">
        <v>30</v>
      </c>
      <c r="F673" s="14">
        <v>562</v>
      </c>
      <c r="G673" s="15">
        <v>177.71</v>
      </c>
      <c r="H673" s="16">
        <v>4.0970191160228507E-2</v>
      </c>
      <c r="I673" s="16">
        <v>2.0514292889661671E-2</v>
      </c>
      <c r="J673" s="15">
        <v>122.45</v>
      </c>
      <c r="K673" s="14">
        <v>44</v>
      </c>
      <c r="L673" s="14">
        <v>2</v>
      </c>
      <c r="M673" s="15">
        <v>3.73</v>
      </c>
      <c r="N673" s="17">
        <v>99873.02</v>
      </c>
      <c r="O673" s="17">
        <v>4091.816721149326</v>
      </c>
      <c r="P673" s="17">
        <v>1964.883657386566</v>
      </c>
      <c r="Q673" s="17">
        <v>93816.319621464107</v>
      </c>
      <c r="R673" s="17">
        <v>68816.900000000009</v>
      </c>
      <c r="S673" s="17">
        <v>24999.419621464102</v>
      </c>
      <c r="T673" s="17">
        <v>7.46</v>
      </c>
    </row>
    <row r="674" spans="1:20" x14ac:dyDescent="0.3">
      <c r="A674" s="13">
        <v>45565</v>
      </c>
      <c r="B674" s="7" t="s">
        <v>122</v>
      </c>
      <c r="C674" s="7" t="s">
        <v>29</v>
      </c>
      <c r="D674" s="7" t="s">
        <v>104</v>
      </c>
      <c r="E674" s="7" t="s">
        <v>25</v>
      </c>
      <c r="F674" s="14">
        <v>1875</v>
      </c>
      <c r="G674" s="15">
        <v>42.98</v>
      </c>
      <c r="H674" s="16">
        <v>6.2803417729180105E-2</v>
      </c>
      <c r="I674" s="16">
        <v>2.8122347600824729E-2</v>
      </c>
      <c r="J674" s="15">
        <v>22.08</v>
      </c>
      <c r="K674" s="14">
        <v>1305</v>
      </c>
      <c r="L674" s="14">
        <v>518</v>
      </c>
      <c r="M674" s="15">
        <v>35.08</v>
      </c>
      <c r="N674" s="17">
        <v>80587.5</v>
      </c>
      <c r="O674" s="17">
        <v>5061.1704262503017</v>
      </c>
      <c r="P674" s="17">
        <v>2123.9776932874379</v>
      </c>
      <c r="Q674" s="17">
        <v>73402.351880462258</v>
      </c>
      <c r="R674" s="17">
        <v>41400</v>
      </c>
      <c r="S674" s="17">
        <v>32002.351880462262</v>
      </c>
      <c r="T674" s="17">
        <v>18171.439999999999</v>
      </c>
    </row>
    <row r="675" spans="1:20" x14ac:dyDescent="0.3">
      <c r="A675" s="13">
        <v>45565</v>
      </c>
      <c r="B675" s="7" t="s">
        <v>122</v>
      </c>
      <c r="C675" s="7" t="s">
        <v>29</v>
      </c>
      <c r="D675" s="7" t="s">
        <v>104</v>
      </c>
      <c r="E675" s="7" t="s">
        <v>28</v>
      </c>
      <c r="F675" s="14">
        <v>750</v>
      </c>
      <c r="G675" s="15">
        <v>40.79</v>
      </c>
      <c r="H675" s="16">
        <v>0.105528609844627</v>
      </c>
      <c r="I675" s="16">
        <v>5.6920739707556227E-2</v>
      </c>
      <c r="J675" s="15">
        <v>23.1</v>
      </c>
      <c r="K675" s="14">
        <v>604</v>
      </c>
      <c r="L675" s="14">
        <v>181</v>
      </c>
      <c r="M675" s="15">
        <v>16.29</v>
      </c>
      <c r="N675" s="17">
        <v>30592.5</v>
      </c>
      <c r="O675" s="17">
        <v>3228.383996671751</v>
      </c>
      <c r="P675" s="17">
        <v>1557.585724352821</v>
      </c>
      <c r="Q675" s="17">
        <v>25806.530278975431</v>
      </c>
      <c r="R675" s="17">
        <v>17325</v>
      </c>
      <c r="S675" s="17">
        <v>8481.5302789754278</v>
      </c>
      <c r="T675" s="17">
        <v>2948.49</v>
      </c>
    </row>
    <row r="676" spans="1:20" x14ac:dyDescent="0.3">
      <c r="A676" s="13">
        <v>45565</v>
      </c>
      <c r="B676" s="7" t="s">
        <v>122</v>
      </c>
      <c r="C676" s="7" t="s">
        <v>29</v>
      </c>
      <c r="D676" s="7" t="s">
        <v>104</v>
      </c>
      <c r="E676" s="7" t="s">
        <v>30</v>
      </c>
      <c r="F676" s="14">
        <v>537</v>
      </c>
      <c r="G676" s="15">
        <v>36.340000000000003</v>
      </c>
      <c r="H676" s="16">
        <v>4.3867572594491061E-2</v>
      </c>
      <c r="I676" s="16">
        <v>1.8087738011653549E-2</v>
      </c>
      <c r="J676" s="15">
        <v>21.02</v>
      </c>
      <c r="K676" s="14">
        <v>43</v>
      </c>
      <c r="L676" s="14">
        <v>3</v>
      </c>
      <c r="M676" s="15">
        <v>4.49</v>
      </c>
      <c r="N676" s="17">
        <v>19514.580000000002</v>
      </c>
      <c r="O676" s="17">
        <v>856.05725480100341</v>
      </c>
      <c r="P676" s="17">
        <v>337.49047109963828</v>
      </c>
      <c r="Q676" s="17">
        <v>18321.032274099362</v>
      </c>
      <c r="R676" s="17">
        <v>11287.74</v>
      </c>
      <c r="S676" s="17">
        <v>7033.2922740993617</v>
      </c>
      <c r="T676" s="17">
        <v>13.47</v>
      </c>
    </row>
    <row r="677" spans="1:20" x14ac:dyDescent="0.3">
      <c r="A677" s="13">
        <v>45565</v>
      </c>
      <c r="B677" s="7" t="s">
        <v>122</v>
      </c>
      <c r="C677" s="7" t="s">
        <v>31</v>
      </c>
      <c r="D677" s="7" t="s">
        <v>102</v>
      </c>
      <c r="E677" s="7" t="s">
        <v>25</v>
      </c>
      <c r="F677" s="14">
        <v>1640</v>
      </c>
      <c r="G677" s="15">
        <v>114.03</v>
      </c>
      <c r="H677" s="16">
        <v>5.9180317256822747E-2</v>
      </c>
      <c r="I677" s="16">
        <v>3.822404005241261E-2</v>
      </c>
      <c r="J677" s="15">
        <v>70.290000000000006</v>
      </c>
      <c r="K677" s="14">
        <v>1133</v>
      </c>
      <c r="L677" s="14">
        <v>400</v>
      </c>
      <c r="M677" s="15">
        <v>37.549999999999997</v>
      </c>
      <c r="N677" s="17">
        <v>187009.2</v>
      </c>
      <c r="O677" s="17">
        <v>11067.26378594462</v>
      </c>
      <c r="P677" s="17">
        <v>6725.2116167450786</v>
      </c>
      <c r="Q677" s="17">
        <v>169216.7245973103</v>
      </c>
      <c r="R677" s="17">
        <v>115275.6</v>
      </c>
      <c r="S677" s="17">
        <v>53941.124597310321</v>
      </c>
      <c r="T677" s="17">
        <v>15020</v>
      </c>
    </row>
    <row r="678" spans="1:20" x14ac:dyDescent="0.3">
      <c r="A678" s="13">
        <v>45565</v>
      </c>
      <c r="B678" s="7" t="s">
        <v>122</v>
      </c>
      <c r="C678" s="7" t="s">
        <v>31</v>
      </c>
      <c r="D678" s="7" t="s">
        <v>102</v>
      </c>
      <c r="E678" s="7" t="s">
        <v>28</v>
      </c>
      <c r="F678" s="14">
        <v>918</v>
      </c>
      <c r="G678" s="15">
        <v>102.97</v>
      </c>
      <c r="H678" s="16">
        <v>8.1667634670252509E-2</v>
      </c>
      <c r="I678" s="16">
        <v>6.1605861794884448E-2</v>
      </c>
      <c r="J678" s="15">
        <v>68.22</v>
      </c>
      <c r="K678" s="14">
        <v>741</v>
      </c>
      <c r="L678" s="14">
        <v>199</v>
      </c>
      <c r="M678" s="15">
        <v>20.23</v>
      </c>
      <c r="N678" s="17">
        <v>94526.459999999992</v>
      </c>
      <c r="O678" s="17">
        <v>7719.7524019522361</v>
      </c>
      <c r="P678" s="17">
        <v>5347.8020311542759</v>
      </c>
      <c r="Q678" s="17">
        <v>81458.905566893474</v>
      </c>
      <c r="R678" s="17">
        <v>62625.96</v>
      </c>
      <c r="S678" s="17">
        <v>18832.945566893479</v>
      </c>
      <c r="T678" s="17">
        <v>4025.77</v>
      </c>
    </row>
    <row r="679" spans="1:20" x14ac:dyDescent="0.3">
      <c r="A679" s="13">
        <v>45565</v>
      </c>
      <c r="B679" s="7" t="s">
        <v>122</v>
      </c>
      <c r="C679" s="7" t="s">
        <v>31</v>
      </c>
      <c r="D679" s="7" t="s">
        <v>102</v>
      </c>
      <c r="E679" s="7" t="s">
        <v>30</v>
      </c>
      <c r="F679" s="14">
        <v>660</v>
      </c>
      <c r="G679" s="15">
        <v>92.17</v>
      </c>
      <c r="H679" s="16">
        <v>3.9639774749868607E-2</v>
      </c>
      <c r="I679" s="16">
        <v>1.699027779032412E-2</v>
      </c>
      <c r="J679" s="15">
        <v>67.63</v>
      </c>
      <c r="K679" s="14">
        <v>55</v>
      </c>
      <c r="L679" s="14">
        <v>4</v>
      </c>
      <c r="M679" s="15">
        <v>4.2300000000000004</v>
      </c>
      <c r="N679" s="17">
        <v>60832.2</v>
      </c>
      <c r="O679" s="17">
        <v>2411.3747055389581</v>
      </c>
      <c r="P679" s="17">
        <v>992.58605049288678</v>
      </c>
      <c r="Q679" s="17">
        <v>57428.239243968157</v>
      </c>
      <c r="R679" s="17">
        <v>44635.8</v>
      </c>
      <c r="S679" s="17">
        <v>12792.43924396816</v>
      </c>
      <c r="T679" s="17">
        <v>16.920000000000002</v>
      </c>
    </row>
    <row r="680" spans="1:20" x14ac:dyDescent="0.3">
      <c r="A680" s="13">
        <v>45565</v>
      </c>
      <c r="B680" s="7" t="s">
        <v>122</v>
      </c>
      <c r="C680" s="7" t="s">
        <v>31</v>
      </c>
      <c r="D680" s="7" t="s">
        <v>103</v>
      </c>
      <c r="E680" s="7" t="s">
        <v>25</v>
      </c>
      <c r="F680" s="14">
        <v>836</v>
      </c>
      <c r="G680" s="15">
        <v>197.43</v>
      </c>
      <c r="H680" s="16">
        <v>7.5913523637538047E-2</v>
      </c>
      <c r="I680" s="16">
        <v>4.3199651911451628E-2</v>
      </c>
      <c r="J680" s="15">
        <v>113.19</v>
      </c>
      <c r="K680" s="14">
        <v>594</v>
      </c>
      <c r="L680" s="14">
        <v>223</v>
      </c>
      <c r="M680" s="15">
        <v>29.45</v>
      </c>
      <c r="N680" s="17">
        <v>165051.48000000001</v>
      </c>
      <c r="O680" s="17">
        <v>12529.639428390639</v>
      </c>
      <c r="P680" s="17">
        <v>6588.8904215874454</v>
      </c>
      <c r="Q680" s="17">
        <v>145932.9501500219</v>
      </c>
      <c r="R680" s="17">
        <v>94626.84</v>
      </c>
      <c r="S680" s="17">
        <v>51306.110150021937</v>
      </c>
      <c r="T680" s="17">
        <v>6567.3499999999995</v>
      </c>
    </row>
    <row r="681" spans="1:20" x14ac:dyDescent="0.3">
      <c r="A681" s="13">
        <v>45565</v>
      </c>
      <c r="B681" s="7" t="s">
        <v>122</v>
      </c>
      <c r="C681" s="7" t="s">
        <v>31</v>
      </c>
      <c r="D681" s="7" t="s">
        <v>103</v>
      </c>
      <c r="E681" s="7" t="s">
        <v>28</v>
      </c>
      <c r="F681" s="14">
        <v>427</v>
      </c>
      <c r="G681" s="15">
        <v>196.75</v>
      </c>
      <c r="H681" s="16">
        <v>0.10889306676412661</v>
      </c>
      <c r="I681" s="16">
        <v>5.0570185423881447E-2</v>
      </c>
      <c r="J681" s="15">
        <v>117.19</v>
      </c>
      <c r="K681" s="14">
        <v>380</v>
      </c>
      <c r="L681" s="14">
        <v>106</v>
      </c>
      <c r="M681" s="15">
        <v>14.64</v>
      </c>
      <c r="N681" s="17">
        <v>84012.25</v>
      </c>
      <c r="O681" s="17">
        <v>9148.3515482544972</v>
      </c>
      <c r="P681" s="17">
        <v>3785.881226259402</v>
      </c>
      <c r="Q681" s="17">
        <v>71078.01722548611</v>
      </c>
      <c r="R681" s="17">
        <v>50040.13</v>
      </c>
      <c r="S681" s="17">
        <v>21037.887225486109</v>
      </c>
      <c r="T681" s="17">
        <v>1551.84</v>
      </c>
    </row>
    <row r="682" spans="1:20" x14ac:dyDescent="0.3">
      <c r="A682" s="13">
        <v>45565</v>
      </c>
      <c r="B682" s="7" t="s">
        <v>122</v>
      </c>
      <c r="C682" s="7" t="s">
        <v>31</v>
      </c>
      <c r="D682" s="7" t="s">
        <v>103</v>
      </c>
      <c r="E682" s="7" t="s">
        <v>30</v>
      </c>
      <c r="F682" s="14">
        <v>323</v>
      </c>
      <c r="G682" s="15">
        <v>172.11</v>
      </c>
      <c r="H682" s="16">
        <v>3.5511423612270117E-2</v>
      </c>
      <c r="I682" s="16">
        <v>1.0163374678870031E-2</v>
      </c>
      <c r="J682" s="15">
        <v>118.1</v>
      </c>
      <c r="K682" s="14">
        <v>27</v>
      </c>
      <c r="L682" s="14">
        <v>2</v>
      </c>
      <c r="M682" s="15">
        <v>5.26</v>
      </c>
      <c r="N682" s="17">
        <v>55591.530000000013</v>
      </c>
      <c r="O682" s="17">
        <v>1974.1343710842229</v>
      </c>
      <c r="P682" s="17">
        <v>544.93368108187917</v>
      </c>
      <c r="Q682" s="17">
        <v>53072.461947833908</v>
      </c>
      <c r="R682" s="17">
        <v>38146.300000000003</v>
      </c>
      <c r="S682" s="17">
        <v>14926.161947833911</v>
      </c>
      <c r="T682" s="17">
        <v>10.52</v>
      </c>
    </row>
    <row r="683" spans="1:20" x14ac:dyDescent="0.3">
      <c r="A683" s="13">
        <v>45565</v>
      </c>
      <c r="B683" s="7" t="s">
        <v>122</v>
      </c>
      <c r="C683" s="7" t="s">
        <v>31</v>
      </c>
      <c r="D683" s="7" t="s">
        <v>104</v>
      </c>
      <c r="E683" s="7" t="s">
        <v>25</v>
      </c>
      <c r="F683" s="14">
        <v>771</v>
      </c>
      <c r="G683" s="15">
        <v>43.38</v>
      </c>
      <c r="H683" s="16">
        <v>6.3435607520662574E-2</v>
      </c>
      <c r="I683" s="16">
        <v>3.6266315749969157E-2</v>
      </c>
      <c r="J683" s="15">
        <v>21.34</v>
      </c>
      <c r="K683" s="14">
        <v>525</v>
      </c>
      <c r="L683" s="14">
        <v>201</v>
      </c>
      <c r="M683" s="15">
        <v>31.02</v>
      </c>
      <c r="N683" s="17">
        <v>33445.980000000003</v>
      </c>
      <c r="O683" s="17">
        <v>2121.66606042393</v>
      </c>
      <c r="P683" s="17">
        <v>1136.017459983826</v>
      </c>
      <c r="Q683" s="17">
        <v>30188.296479592249</v>
      </c>
      <c r="R683" s="17">
        <v>16453.14</v>
      </c>
      <c r="S683" s="17">
        <v>13735.15647959225</v>
      </c>
      <c r="T683" s="17">
        <v>6235.02</v>
      </c>
    </row>
    <row r="684" spans="1:20" x14ac:dyDescent="0.3">
      <c r="A684" s="13">
        <v>45565</v>
      </c>
      <c r="B684" s="7" t="s">
        <v>122</v>
      </c>
      <c r="C684" s="7" t="s">
        <v>31</v>
      </c>
      <c r="D684" s="7" t="s">
        <v>104</v>
      </c>
      <c r="E684" s="7" t="s">
        <v>28</v>
      </c>
      <c r="F684" s="14">
        <v>450</v>
      </c>
      <c r="G684" s="15">
        <v>38.81</v>
      </c>
      <c r="H684" s="16">
        <v>0.10483627532546649</v>
      </c>
      <c r="I684" s="16">
        <v>8.9397558821170134E-2</v>
      </c>
      <c r="J684" s="15">
        <v>21.96</v>
      </c>
      <c r="K684" s="14">
        <v>372</v>
      </c>
      <c r="L684" s="14">
        <v>111</v>
      </c>
      <c r="M684" s="15">
        <v>18.27</v>
      </c>
      <c r="N684" s="17">
        <v>17464.5</v>
      </c>
      <c r="O684" s="17">
        <v>1830.91313042161</v>
      </c>
      <c r="P684" s="17">
        <v>1397.604501759007</v>
      </c>
      <c r="Q684" s="17">
        <v>14235.982367819381</v>
      </c>
      <c r="R684" s="17">
        <v>9882</v>
      </c>
      <c r="S684" s="17">
        <v>4353.9823678193816</v>
      </c>
      <c r="T684" s="17">
        <v>2027.97</v>
      </c>
    </row>
    <row r="685" spans="1:20" x14ac:dyDescent="0.3">
      <c r="A685" s="13">
        <v>45565</v>
      </c>
      <c r="B685" s="7" t="s">
        <v>122</v>
      </c>
      <c r="C685" s="7" t="s">
        <v>31</v>
      </c>
      <c r="D685" s="7" t="s">
        <v>104</v>
      </c>
      <c r="E685" s="7" t="s">
        <v>30</v>
      </c>
      <c r="F685" s="14">
        <v>270</v>
      </c>
      <c r="G685" s="15">
        <v>34.39</v>
      </c>
      <c r="H685" s="16">
        <v>4.2570052303964351E-2</v>
      </c>
      <c r="I685" s="16">
        <v>1.644268902958148E-2</v>
      </c>
      <c r="J685" s="15">
        <v>21.42</v>
      </c>
      <c r="K685" s="14">
        <v>20</v>
      </c>
      <c r="L685" s="14">
        <v>1</v>
      </c>
      <c r="M685" s="15">
        <v>4.63</v>
      </c>
      <c r="N685" s="17">
        <v>9285.2999999999993</v>
      </c>
      <c r="O685" s="17">
        <v>395.27570665800022</v>
      </c>
      <c r="P685" s="17">
        <v>146.1759049208473</v>
      </c>
      <c r="Q685" s="17">
        <v>8743.8483884211528</v>
      </c>
      <c r="R685" s="17">
        <v>5783.4000000000005</v>
      </c>
      <c r="S685" s="17">
        <v>2960.4483884211518</v>
      </c>
      <c r="T685" s="17">
        <v>4.63</v>
      </c>
    </row>
    <row r="686" spans="1:20" x14ac:dyDescent="0.3">
      <c r="A686" s="13">
        <v>45596</v>
      </c>
      <c r="B686" s="7" t="s">
        <v>123</v>
      </c>
      <c r="C686" s="7" t="s">
        <v>24</v>
      </c>
      <c r="D686" s="7" t="s">
        <v>102</v>
      </c>
      <c r="E686" s="7" t="s">
        <v>25</v>
      </c>
      <c r="F686" s="14">
        <v>8309</v>
      </c>
      <c r="G686" s="15">
        <v>122.98</v>
      </c>
      <c r="H686" s="16">
        <v>6.8650263920854451E-2</v>
      </c>
      <c r="I686" s="16">
        <v>3.3483248778435837E-2</v>
      </c>
      <c r="J686" s="15">
        <v>67.92</v>
      </c>
      <c r="K686" s="14">
        <v>6208</v>
      </c>
      <c r="L686" s="14">
        <v>2420</v>
      </c>
      <c r="M686" s="15">
        <v>41.21</v>
      </c>
      <c r="N686" s="17">
        <v>1021840.82</v>
      </c>
      <c r="O686" s="17">
        <v>70149.641978102329</v>
      </c>
      <c r="P686" s="17">
        <v>31865.712473949879</v>
      </c>
      <c r="Q686" s="17">
        <v>919825.46554794791</v>
      </c>
      <c r="R686" s="17">
        <v>564347.28</v>
      </c>
      <c r="S686" s="17">
        <v>355478.18554794788</v>
      </c>
      <c r="T686" s="17">
        <v>99728.2</v>
      </c>
    </row>
    <row r="687" spans="1:20" x14ac:dyDescent="0.3">
      <c r="A687" s="13">
        <v>45596</v>
      </c>
      <c r="B687" s="7" t="s">
        <v>123</v>
      </c>
      <c r="C687" s="7" t="s">
        <v>24</v>
      </c>
      <c r="D687" s="7" t="s">
        <v>102</v>
      </c>
      <c r="E687" s="7" t="s">
        <v>28</v>
      </c>
      <c r="F687" s="14">
        <v>4589</v>
      </c>
      <c r="G687" s="15">
        <v>115.28</v>
      </c>
      <c r="H687" s="16">
        <v>9.2745742906668441E-2</v>
      </c>
      <c r="I687" s="16">
        <v>7.2626711621760195E-2</v>
      </c>
      <c r="J687" s="15">
        <v>70.42</v>
      </c>
      <c r="K687" s="14">
        <v>3906</v>
      </c>
      <c r="L687" s="14">
        <v>1183</v>
      </c>
      <c r="M687" s="15">
        <v>9.8000000000000007</v>
      </c>
      <c r="N687" s="17">
        <v>529019.92000000004</v>
      </c>
      <c r="O687" s="17">
        <v>49064.345492826309</v>
      </c>
      <c r="P687" s="17">
        <v>34857.595100988743</v>
      </c>
      <c r="Q687" s="17">
        <v>445097.97940618498</v>
      </c>
      <c r="R687" s="17">
        <v>323157.38</v>
      </c>
      <c r="S687" s="17">
        <v>121940.59940618501</v>
      </c>
      <c r="T687" s="17">
        <v>11593.4</v>
      </c>
    </row>
    <row r="688" spans="1:20" x14ac:dyDescent="0.3">
      <c r="A688" s="13">
        <v>45596</v>
      </c>
      <c r="B688" s="7" t="s">
        <v>123</v>
      </c>
      <c r="C688" s="7" t="s">
        <v>24</v>
      </c>
      <c r="D688" s="7" t="s">
        <v>102</v>
      </c>
      <c r="E688" s="7" t="s">
        <v>30</v>
      </c>
      <c r="F688" s="14">
        <v>3105</v>
      </c>
      <c r="G688" s="15">
        <v>106.06</v>
      </c>
      <c r="H688" s="16">
        <v>5.4782043591734067E-2</v>
      </c>
      <c r="I688" s="16">
        <v>2.129384902621961E-2</v>
      </c>
      <c r="J688" s="15">
        <v>75.319999999999993</v>
      </c>
      <c r="K688" s="14">
        <v>257</v>
      </c>
      <c r="L688" s="14">
        <v>16</v>
      </c>
      <c r="M688" s="15">
        <v>3.63</v>
      </c>
      <c r="N688" s="17">
        <v>329316.3</v>
      </c>
      <c r="O688" s="17">
        <v>18040.619902068571</v>
      </c>
      <c r="P688" s="17">
        <v>6628.257337539183</v>
      </c>
      <c r="Q688" s="17">
        <v>304647.42276039219</v>
      </c>
      <c r="R688" s="17">
        <v>233868.6</v>
      </c>
      <c r="S688" s="17">
        <v>70778.822760392271</v>
      </c>
      <c r="T688" s="17">
        <v>58.08</v>
      </c>
    </row>
    <row r="689" spans="1:20" x14ac:dyDescent="0.3">
      <c r="A689" s="13">
        <v>45596</v>
      </c>
      <c r="B689" s="7" t="s">
        <v>123</v>
      </c>
      <c r="C689" s="7" t="s">
        <v>24</v>
      </c>
      <c r="D689" s="7" t="s">
        <v>103</v>
      </c>
      <c r="E689" s="7" t="s">
        <v>25</v>
      </c>
      <c r="F689" s="14">
        <v>4428</v>
      </c>
      <c r="G689" s="15">
        <v>224.13</v>
      </c>
      <c r="H689" s="16">
        <v>6.216760767200618E-2</v>
      </c>
      <c r="I689" s="16">
        <v>3.3384585574847081E-2</v>
      </c>
      <c r="J689" s="15">
        <v>127.46</v>
      </c>
      <c r="K689" s="14">
        <v>3130</v>
      </c>
      <c r="L689" s="14">
        <v>1101</v>
      </c>
      <c r="M689" s="15">
        <v>28.46</v>
      </c>
      <c r="N689" s="17">
        <v>992447.64</v>
      </c>
      <c r="O689" s="17">
        <v>61698.095518528433</v>
      </c>
      <c r="P689" s="17">
        <v>31072.687816491631</v>
      </c>
      <c r="Q689" s="17">
        <v>899676.85666498006</v>
      </c>
      <c r="R689" s="17">
        <v>564392.88</v>
      </c>
      <c r="S689" s="17">
        <v>335283.97666498012</v>
      </c>
      <c r="T689" s="17">
        <v>31334.46</v>
      </c>
    </row>
    <row r="690" spans="1:20" x14ac:dyDescent="0.3">
      <c r="A690" s="13">
        <v>45596</v>
      </c>
      <c r="B690" s="7" t="s">
        <v>123</v>
      </c>
      <c r="C690" s="7" t="s">
        <v>24</v>
      </c>
      <c r="D690" s="7" t="s">
        <v>103</v>
      </c>
      <c r="E690" s="7" t="s">
        <v>28</v>
      </c>
      <c r="F690" s="14">
        <v>1575</v>
      </c>
      <c r="G690" s="15">
        <v>218.98</v>
      </c>
      <c r="H690" s="16">
        <v>9.7311234619646317E-2</v>
      </c>
      <c r="I690" s="16">
        <v>5.8349917519484228E-2</v>
      </c>
      <c r="J690" s="15">
        <v>129.47</v>
      </c>
      <c r="K690" s="14">
        <v>1280</v>
      </c>
      <c r="L690" s="14">
        <v>410</v>
      </c>
      <c r="M690" s="15">
        <v>15.57</v>
      </c>
      <c r="N690" s="17">
        <v>344893.5</v>
      </c>
      <c r="O690" s="17">
        <v>33562.012297290988</v>
      </c>
      <c r="P690" s="17">
        <v>18166.166628671392</v>
      </c>
      <c r="Q690" s="17">
        <v>293165.32107403758</v>
      </c>
      <c r="R690" s="17">
        <v>203915.25</v>
      </c>
      <c r="S690" s="17">
        <v>89250.071074037638</v>
      </c>
      <c r="T690" s="17">
        <v>6383.7</v>
      </c>
    </row>
    <row r="691" spans="1:20" x14ac:dyDescent="0.3">
      <c r="A691" s="13">
        <v>45596</v>
      </c>
      <c r="B691" s="7" t="s">
        <v>123</v>
      </c>
      <c r="C691" s="7" t="s">
        <v>24</v>
      </c>
      <c r="D691" s="7" t="s">
        <v>103</v>
      </c>
      <c r="E691" s="7" t="s">
        <v>30</v>
      </c>
      <c r="F691" s="14">
        <v>1863</v>
      </c>
      <c r="G691" s="15">
        <v>202.9</v>
      </c>
      <c r="H691" s="16">
        <v>4.2082703826510533E-2</v>
      </c>
      <c r="I691" s="16">
        <v>1.8231571202164971E-2</v>
      </c>
      <c r="J691" s="15">
        <v>120.03</v>
      </c>
      <c r="K691" s="14">
        <v>157</v>
      </c>
      <c r="L691" s="14">
        <v>9</v>
      </c>
      <c r="M691" s="15">
        <v>5.86</v>
      </c>
      <c r="N691" s="17">
        <v>378002.7</v>
      </c>
      <c r="O691" s="17">
        <v>15907.37566972131</v>
      </c>
      <c r="P691" s="17">
        <v>6601.5666874984936</v>
      </c>
      <c r="Q691" s="17">
        <v>355493.7576427802</v>
      </c>
      <c r="R691" s="17">
        <v>223615.89</v>
      </c>
      <c r="S691" s="17">
        <v>131877.86764278021</v>
      </c>
      <c r="T691" s="17">
        <v>52.74</v>
      </c>
    </row>
    <row r="692" spans="1:20" x14ac:dyDescent="0.3">
      <c r="A692" s="13">
        <v>45596</v>
      </c>
      <c r="B692" s="7" t="s">
        <v>123</v>
      </c>
      <c r="C692" s="7" t="s">
        <v>24</v>
      </c>
      <c r="D692" s="7" t="s">
        <v>104</v>
      </c>
      <c r="E692" s="7" t="s">
        <v>25</v>
      </c>
      <c r="F692" s="14">
        <v>4384</v>
      </c>
      <c r="G692" s="15">
        <v>47.4</v>
      </c>
      <c r="H692" s="16">
        <v>6.6164969736356605E-2</v>
      </c>
      <c r="I692" s="16">
        <v>2.3288302275059351E-2</v>
      </c>
      <c r="J692" s="15">
        <v>24.25</v>
      </c>
      <c r="K692" s="14">
        <v>3225</v>
      </c>
      <c r="L692" s="14">
        <v>1315</v>
      </c>
      <c r="M692" s="15">
        <v>34.700000000000003</v>
      </c>
      <c r="N692" s="17">
        <v>207801.60000000001</v>
      </c>
      <c r="O692" s="17">
        <v>13749.186575166481</v>
      </c>
      <c r="P692" s="17">
        <v>4519.1512610423088</v>
      </c>
      <c r="Q692" s="17">
        <v>189533.26216379119</v>
      </c>
      <c r="R692" s="17">
        <v>106312</v>
      </c>
      <c r="S692" s="17">
        <v>83221.262163791223</v>
      </c>
      <c r="T692" s="17">
        <v>45630.500000000007</v>
      </c>
    </row>
    <row r="693" spans="1:20" x14ac:dyDescent="0.3">
      <c r="A693" s="13">
        <v>45596</v>
      </c>
      <c r="B693" s="7" t="s">
        <v>123</v>
      </c>
      <c r="C693" s="7" t="s">
        <v>24</v>
      </c>
      <c r="D693" s="7" t="s">
        <v>104</v>
      </c>
      <c r="E693" s="7" t="s">
        <v>28</v>
      </c>
      <c r="F693" s="14">
        <v>1346</v>
      </c>
      <c r="G693" s="15">
        <v>45.23</v>
      </c>
      <c r="H693" s="16">
        <v>9.7410562985637481E-2</v>
      </c>
      <c r="I693" s="16">
        <v>6.9580157098204504E-2</v>
      </c>
      <c r="J693" s="15">
        <v>22.81</v>
      </c>
      <c r="K693" s="14">
        <v>1181</v>
      </c>
      <c r="L693" s="14">
        <v>334</v>
      </c>
      <c r="M693" s="15">
        <v>13.3</v>
      </c>
      <c r="N693" s="17">
        <v>60879.579999999987</v>
      </c>
      <c r="O693" s="17">
        <v>5930.3141621291552</v>
      </c>
      <c r="P693" s="17">
        <v>3823.378549430055</v>
      </c>
      <c r="Q693" s="17">
        <v>51125.887288440783</v>
      </c>
      <c r="R693" s="17">
        <v>30702.26</v>
      </c>
      <c r="S693" s="17">
        <v>20423.627288440781</v>
      </c>
      <c r="T693" s="17">
        <v>4442.2</v>
      </c>
    </row>
    <row r="694" spans="1:20" x14ac:dyDescent="0.3">
      <c r="A694" s="13">
        <v>45596</v>
      </c>
      <c r="B694" s="7" t="s">
        <v>123</v>
      </c>
      <c r="C694" s="7" t="s">
        <v>24</v>
      </c>
      <c r="D694" s="7" t="s">
        <v>104</v>
      </c>
      <c r="E694" s="7" t="s">
        <v>30</v>
      </c>
      <c r="F694" s="14">
        <v>1192</v>
      </c>
      <c r="G694" s="15">
        <v>39.82</v>
      </c>
      <c r="H694" s="16">
        <v>4.2158528857444602E-2</v>
      </c>
      <c r="I694" s="16">
        <v>1.986869603365074E-2</v>
      </c>
      <c r="J694" s="15">
        <v>22.42</v>
      </c>
      <c r="K694" s="14">
        <v>104</v>
      </c>
      <c r="L694" s="14">
        <v>6</v>
      </c>
      <c r="M694" s="15">
        <v>5.67</v>
      </c>
      <c r="N694" s="17">
        <v>47465.440000000002</v>
      </c>
      <c r="O694" s="17">
        <v>2001.073121971305</v>
      </c>
      <c r="P694" s="17">
        <v>903.31768586193084</v>
      </c>
      <c r="Q694" s="17">
        <v>44561.049192166764</v>
      </c>
      <c r="R694" s="17">
        <v>26724.639999999999</v>
      </c>
      <c r="S694" s="17">
        <v>17836.40919216676</v>
      </c>
      <c r="T694" s="17">
        <v>34.020000000000003</v>
      </c>
    </row>
    <row r="695" spans="1:20" x14ac:dyDescent="0.3">
      <c r="A695" s="13">
        <v>45596</v>
      </c>
      <c r="B695" s="7" t="s">
        <v>123</v>
      </c>
      <c r="C695" s="7" t="s">
        <v>27</v>
      </c>
      <c r="D695" s="7" t="s">
        <v>102</v>
      </c>
      <c r="E695" s="7" t="s">
        <v>25</v>
      </c>
      <c r="F695" s="14">
        <v>6262</v>
      </c>
      <c r="G695" s="15">
        <v>139.56</v>
      </c>
      <c r="H695" s="16">
        <v>7.2867743560083256E-2</v>
      </c>
      <c r="I695" s="16">
        <v>3.001787741488595E-2</v>
      </c>
      <c r="J695" s="15">
        <v>75.61</v>
      </c>
      <c r="K695" s="14">
        <v>4438</v>
      </c>
      <c r="L695" s="14">
        <v>1797</v>
      </c>
      <c r="M695" s="15">
        <v>28.93</v>
      </c>
      <c r="N695" s="17">
        <v>873924.72</v>
      </c>
      <c r="O695" s="17">
        <v>63680.922387777558</v>
      </c>
      <c r="P695" s="17">
        <v>24321.79899289535</v>
      </c>
      <c r="Q695" s="17">
        <v>785921.99861932697</v>
      </c>
      <c r="R695" s="17">
        <v>473469.82</v>
      </c>
      <c r="S695" s="17">
        <v>312452.17861932702</v>
      </c>
      <c r="T695" s="17">
        <v>51987.21</v>
      </c>
    </row>
    <row r="696" spans="1:20" x14ac:dyDescent="0.3">
      <c r="A696" s="13">
        <v>45596</v>
      </c>
      <c r="B696" s="7" t="s">
        <v>123</v>
      </c>
      <c r="C696" s="7" t="s">
        <v>27</v>
      </c>
      <c r="D696" s="7" t="s">
        <v>102</v>
      </c>
      <c r="E696" s="7" t="s">
        <v>28</v>
      </c>
      <c r="F696" s="14">
        <v>2660</v>
      </c>
      <c r="G696" s="15">
        <v>122.65</v>
      </c>
      <c r="H696" s="16">
        <v>8.9977854275083494E-2</v>
      </c>
      <c r="I696" s="16">
        <v>6.2900691778862372E-2</v>
      </c>
      <c r="J696" s="15">
        <v>72.56</v>
      </c>
      <c r="K696" s="14">
        <v>2183</v>
      </c>
      <c r="L696" s="14">
        <v>616</v>
      </c>
      <c r="M696" s="15">
        <v>18.05</v>
      </c>
      <c r="N696" s="17">
        <v>326249</v>
      </c>
      <c r="O696" s="17">
        <v>29355.18497939171</v>
      </c>
      <c r="P696" s="17">
        <v>18674.82634966186</v>
      </c>
      <c r="Q696" s="17">
        <v>278218.98867094639</v>
      </c>
      <c r="R696" s="17">
        <v>193009.6</v>
      </c>
      <c r="S696" s="17">
        <v>85209.388670946442</v>
      </c>
      <c r="T696" s="17">
        <v>11118.8</v>
      </c>
    </row>
    <row r="697" spans="1:20" x14ac:dyDescent="0.3">
      <c r="A697" s="13">
        <v>45596</v>
      </c>
      <c r="B697" s="7" t="s">
        <v>123</v>
      </c>
      <c r="C697" s="7" t="s">
        <v>27</v>
      </c>
      <c r="D697" s="7" t="s">
        <v>102</v>
      </c>
      <c r="E697" s="7" t="s">
        <v>30</v>
      </c>
      <c r="F697" s="14">
        <v>3188</v>
      </c>
      <c r="G697" s="15">
        <v>113.6</v>
      </c>
      <c r="H697" s="16">
        <v>5.8756323672398351E-2</v>
      </c>
      <c r="I697" s="16">
        <v>1.6380176347661059E-2</v>
      </c>
      <c r="J697" s="15">
        <v>74.16</v>
      </c>
      <c r="K697" s="14">
        <v>277</v>
      </c>
      <c r="L697" s="14">
        <v>18</v>
      </c>
      <c r="M697" s="15">
        <v>2.5299999999999998</v>
      </c>
      <c r="N697" s="17">
        <v>362156.79999999999</v>
      </c>
      <c r="O697" s="17">
        <v>21279.00216096003</v>
      </c>
      <c r="P697" s="17">
        <v>5583.6384416058318</v>
      </c>
      <c r="Q697" s="17">
        <v>335294.15939743409</v>
      </c>
      <c r="R697" s="17">
        <v>236422.08</v>
      </c>
      <c r="S697" s="17">
        <v>98872.079397434107</v>
      </c>
      <c r="T697" s="17">
        <v>45.54</v>
      </c>
    </row>
    <row r="698" spans="1:20" x14ac:dyDescent="0.3">
      <c r="A698" s="13">
        <v>45596</v>
      </c>
      <c r="B698" s="7" t="s">
        <v>123</v>
      </c>
      <c r="C698" s="7" t="s">
        <v>27</v>
      </c>
      <c r="D698" s="7" t="s">
        <v>103</v>
      </c>
      <c r="E698" s="7" t="s">
        <v>25</v>
      </c>
      <c r="F698" s="14">
        <v>3504</v>
      </c>
      <c r="G698" s="15">
        <v>249.92</v>
      </c>
      <c r="H698" s="16">
        <v>6.2084447806244912E-2</v>
      </c>
      <c r="I698" s="16">
        <v>4.3826535514774917E-2</v>
      </c>
      <c r="J698" s="15">
        <v>134</v>
      </c>
      <c r="K698" s="14">
        <v>2565</v>
      </c>
      <c r="L698" s="14">
        <v>942</v>
      </c>
      <c r="M698" s="15">
        <v>21.96</v>
      </c>
      <c r="N698" s="17">
        <v>875719.67999999993</v>
      </c>
      <c r="O698" s="17">
        <v>54368.572765861492</v>
      </c>
      <c r="P698" s="17">
        <v>35996.973471296667</v>
      </c>
      <c r="Q698" s="17">
        <v>785354.13376284169</v>
      </c>
      <c r="R698" s="17">
        <v>469536</v>
      </c>
      <c r="S698" s="17">
        <v>315818.13376284169</v>
      </c>
      <c r="T698" s="17">
        <v>20686.32</v>
      </c>
    </row>
    <row r="699" spans="1:20" x14ac:dyDescent="0.3">
      <c r="A699" s="13">
        <v>45596</v>
      </c>
      <c r="B699" s="7" t="s">
        <v>123</v>
      </c>
      <c r="C699" s="7" t="s">
        <v>27</v>
      </c>
      <c r="D699" s="7" t="s">
        <v>103</v>
      </c>
      <c r="E699" s="7" t="s">
        <v>28</v>
      </c>
      <c r="F699" s="14">
        <v>1385</v>
      </c>
      <c r="G699" s="15">
        <v>239.14</v>
      </c>
      <c r="H699" s="16">
        <v>9.7176963418407675E-2</v>
      </c>
      <c r="I699" s="16">
        <v>5.8446197198913287E-2</v>
      </c>
      <c r="J699" s="15">
        <v>128.80000000000001</v>
      </c>
      <c r="K699" s="14">
        <v>1141</v>
      </c>
      <c r="L699" s="14">
        <v>345</v>
      </c>
      <c r="M699" s="15">
        <v>21.14</v>
      </c>
      <c r="N699" s="17">
        <v>331208.90000000002</v>
      </c>
      <c r="O699" s="17">
        <v>32185.875159151041</v>
      </c>
      <c r="P699" s="17">
        <v>17476.758676863799</v>
      </c>
      <c r="Q699" s="17">
        <v>281546.26616398513</v>
      </c>
      <c r="R699" s="17">
        <v>178388</v>
      </c>
      <c r="S699" s="17">
        <v>103158.2661639851</v>
      </c>
      <c r="T699" s="17">
        <v>7293.3</v>
      </c>
    </row>
    <row r="700" spans="1:20" x14ac:dyDescent="0.3">
      <c r="A700" s="13">
        <v>45596</v>
      </c>
      <c r="B700" s="7" t="s">
        <v>123</v>
      </c>
      <c r="C700" s="7" t="s">
        <v>27</v>
      </c>
      <c r="D700" s="7" t="s">
        <v>103</v>
      </c>
      <c r="E700" s="7" t="s">
        <v>30</v>
      </c>
      <c r="F700" s="14">
        <v>1110</v>
      </c>
      <c r="G700" s="15">
        <v>204.29</v>
      </c>
      <c r="H700" s="16">
        <v>5.6740018702543797E-2</v>
      </c>
      <c r="I700" s="16">
        <v>2.0188482865619611E-2</v>
      </c>
      <c r="J700" s="15">
        <v>132.19</v>
      </c>
      <c r="K700" s="14">
        <v>93</v>
      </c>
      <c r="L700" s="14">
        <v>5</v>
      </c>
      <c r="M700" s="15">
        <v>6.59</v>
      </c>
      <c r="N700" s="17">
        <v>226761.9</v>
      </c>
      <c r="O700" s="17">
        <v>12866.47444702437</v>
      </c>
      <c r="P700" s="17">
        <v>4318.2241338106642</v>
      </c>
      <c r="Q700" s="17">
        <v>209577.20141916501</v>
      </c>
      <c r="R700" s="17">
        <v>146730.9</v>
      </c>
      <c r="S700" s="17">
        <v>62846.301419164964</v>
      </c>
      <c r="T700" s="17">
        <v>32.950000000000003</v>
      </c>
    </row>
    <row r="701" spans="1:20" x14ac:dyDescent="0.3">
      <c r="A701" s="13">
        <v>45596</v>
      </c>
      <c r="B701" s="7" t="s">
        <v>123</v>
      </c>
      <c r="C701" s="7" t="s">
        <v>27</v>
      </c>
      <c r="D701" s="7" t="s">
        <v>104</v>
      </c>
      <c r="E701" s="7" t="s">
        <v>25</v>
      </c>
      <c r="F701" s="14">
        <v>2730</v>
      </c>
      <c r="G701" s="15">
        <v>48.16</v>
      </c>
      <c r="H701" s="16">
        <v>6.8231958314035043E-2</v>
      </c>
      <c r="I701" s="16">
        <v>3.6739875041831509E-2</v>
      </c>
      <c r="J701" s="15">
        <v>24.04</v>
      </c>
      <c r="K701" s="14">
        <v>1890</v>
      </c>
      <c r="L701" s="14">
        <v>696</v>
      </c>
      <c r="M701" s="15">
        <v>31.11</v>
      </c>
      <c r="N701" s="17">
        <v>131476.79999999999</v>
      </c>
      <c r="O701" s="17">
        <v>8970.9195368627225</v>
      </c>
      <c r="P701" s="17">
        <v>4500.8507401052111</v>
      </c>
      <c r="Q701" s="17">
        <v>118005.0297230321</v>
      </c>
      <c r="R701" s="17">
        <v>65629.2</v>
      </c>
      <c r="S701" s="17">
        <v>52375.82972303206</v>
      </c>
      <c r="T701" s="17">
        <v>21652.560000000001</v>
      </c>
    </row>
    <row r="702" spans="1:20" x14ac:dyDescent="0.3">
      <c r="A702" s="13">
        <v>45596</v>
      </c>
      <c r="B702" s="7" t="s">
        <v>123</v>
      </c>
      <c r="C702" s="7" t="s">
        <v>27</v>
      </c>
      <c r="D702" s="7" t="s">
        <v>104</v>
      </c>
      <c r="E702" s="7" t="s">
        <v>28</v>
      </c>
      <c r="F702" s="14">
        <v>972</v>
      </c>
      <c r="G702" s="15">
        <v>48.94</v>
      </c>
      <c r="H702" s="16">
        <v>0.12573861446699039</v>
      </c>
      <c r="I702" s="16">
        <v>5.8537119243815647E-2</v>
      </c>
      <c r="J702" s="15">
        <v>24</v>
      </c>
      <c r="K702" s="14">
        <v>752</v>
      </c>
      <c r="L702" s="14">
        <v>213</v>
      </c>
      <c r="M702" s="15">
        <v>21.09</v>
      </c>
      <c r="N702" s="17">
        <v>47569.68</v>
      </c>
      <c r="O702" s="17">
        <v>5981.3456538381051</v>
      </c>
      <c r="P702" s="17">
        <v>2434.461286772952</v>
      </c>
      <c r="Q702" s="17">
        <v>39153.873059388941</v>
      </c>
      <c r="R702" s="17">
        <v>23328</v>
      </c>
      <c r="S702" s="17">
        <v>15825.87305938894</v>
      </c>
      <c r="T702" s="17">
        <v>4492.17</v>
      </c>
    </row>
    <row r="703" spans="1:20" x14ac:dyDescent="0.3">
      <c r="A703" s="13">
        <v>45596</v>
      </c>
      <c r="B703" s="7" t="s">
        <v>123</v>
      </c>
      <c r="C703" s="7" t="s">
        <v>27</v>
      </c>
      <c r="D703" s="7" t="s">
        <v>104</v>
      </c>
      <c r="E703" s="7" t="s">
        <v>30</v>
      </c>
      <c r="F703" s="14">
        <v>712</v>
      </c>
      <c r="G703" s="15">
        <v>43.1</v>
      </c>
      <c r="H703" s="16">
        <v>5.1135522859638002E-2</v>
      </c>
      <c r="I703" s="16">
        <v>2.1492259069907201E-2</v>
      </c>
      <c r="J703" s="15">
        <v>23.21</v>
      </c>
      <c r="K703" s="14">
        <v>60</v>
      </c>
      <c r="L703" s="14">
        <v>3</v>
      </c>
      <c r="M703" s="15">
        <v>5.64</v>
      </c>
      <c r="N703" s="17">
        <v>30687.200000000001</v>
      </c>
      <c r="O703" s="17">
        <v>1569.2060170982829</v>
      </c>
      <c r="P703" s="17">
        <v>625.81147027652264</v>
      </c>
      <c r="Q703" s="17">
        <v>28492.18251262519</v>
      </c>
      <c r="R703" s="17">
        <v>16525.52</v>
      </c>
      <c r="S703" s="17">
        <v>11966.662512625189</v>
      </c>
      <c r="T703" s="17">
        <v>16.920000000000002</v>
      </c>
    </row>
    <row r="704" spans="1:20" x14ac:dyDescent="0.3">
      <c r="A704" s="13">
        <v>45596</v>
      </c>
      <c r="B704" s="7" t="s">
        <v>123</v>
      </c>
      <c r="C704" s="7" t="s">
        <v>29</v>
      </c>
      <c r="D704" s="7" t="s">
        <v>102</v>
      </c>
      <c r="E704" s="7" t="s">
        <v>25</v>
      </c>
      <c r="F704" s="14">
        <v>7120</v>
      </c>
      <c r="G704" s="15">
        <v>121.38</v>
      </c>
      <c r="H704" s="16">
        <v>7.8257265225956066E-2</v>
      </c>
      <c r="I704" s="16">
        <v>3.4404537147105313E-2</v>
      </c>
      <c r="J704" s="15">
        <v>65.2</v>
      </c>
      <c r="K704" s="14">
        <v>4712</v>
      </c>
      <c r="L704" s="14">
        <v>1754</v>
      </c>
      <c r="M704" s="15">
        <v>39.83</v>
      </c>
      <c r="N704" s="17">
        <v>864225.6</v>
      </c>
      <c r="O704" s="17">
        <v>67631.931994261016</v>
      </c>
      <c r="P704" s="17">
        <v>27406.43644205232</v>
      </c>
      <c r="Q704" s="17">
        <v>769187.23156368663</v>
      </c>
      <c r="R704" s="17">
        <v>464224</v>
      </c>
      <c r="S704" s="17">
        <v>304963.23156368663</v>
      </c>
      <c r="T704" s="17">
        <v>69861.819999999992</v>
      </c>
    </row>
    <row r="705" spans="1:20" x14ac:dyDescent="0.3">
      <c r="A705" s="13">
        <v>45596</v>
      </c>
      <c r="B705" s="7" t="s">
        <v>123</v>
      </c>
      <c r="C705" s="7" t="s">
        <v>29</v>
      </c>
      <c r="D705" s="7" t="s">
        <v>102</v>
      </c>
      <c r="E705" s="7" t="s">
        <v>28</v>
      </c>
      <c r="F705" s="14">
        <v>2550</v>
      </c>
      <c r="G705" s="15">
        <v>117.88</v>
      </c>
      <c r="H705" s="16">
        <v>0.12171694627686799</v>
      </c>
      <c r="I705" s="16">
        <v>7.4079600340184168E-2</v>
      </c>
      <c r="J705" s="15">
        <v>70.88</v>
      </c>
      <c r="K705" s="14">
        <v>1977</v>
      </c>
      <c r="L705" s="14">
        <v>571</v>
      </c>
      <c r="M705" s="15">
        <v>18.27</v>
      </c>
      <c r="N705" s="17">
        <v>300594</v>
      </c>
      <c r="O705" s="17">
        <v>36587.383749148859</v>
      </c>
      <c r="P705" s="17">
        <v>19557.504619027419</v>
      </c>
      <c r="Q705" s="17">
        <v>244449.1116318237</v>
      </c>
      <c r="R705" s="17">
        <v>180744</v>
      </c>
      <c r="S705" s="17">
        <v>63705.111631823696</v>
      </c>
      <c r="T705" s="17">
        <v>10432.17</v>
      </c>
    </row>
    <row r="706" spans="1:20" x14ac:dyDescent="0.3">
      <c r="A706" s="13">
        <v>45596</v>
      </c>
      <c r="B706" s="7" t="s">
        <v>123</v>
      </c>
      <c r="C706" s="7" t="s">
        <v>29</v>
      </c>
      <c r="D706" s="7" t="s">
        <v>102</v>
      </c>
      <c r="E706" s="7" t="s">
        <v>30</v>
      </c>
      <c r="F706" s="14">
        <v>1738</v>
      </c>
      <c r="G706" s="15">
        <v>96.96</v>
      </c>
      <c r="H706" s="16">
        <v>5.7577059401270107E-2</v>
      </c>
      <c r="I706" s="16">
        <v>1.9778192722442189E-2</v>
      </c>
      <c r="J706" s="15">
        <v>74.2</v>
      </c>
      <c r="K706" s="14">
        <v>151</v>
      </c>
      <c r="L706" s="14">
        <v>9</v>
      </c>
      <c r="M706" s="15">
        <v>4.4000000000000004</v>
      </c>
      <c r="N706" s="17">
        <v>168516.48000000001</v>
      </c>
      <c r="O706" s="17">
        <v>9702.6833790529454</v>
      </c>
      <c r="P706" s="17">
        <v>3141.04987655183</v>
      </c>
      <c r="Q706" s="17">
        <v>155672.7467443952</v>
      </c>
      <c r="R706" s="17">
        <v>128959.6</v>
      </c>
      <c r="S706" s="17">
        <v>26713.146744395199</v>
      </c>
      <c r="T706" s="17">
        <v>39.6</v>
      </c>
    </row>
    <row r="707" spans="1:20" x14ac:dyDescent="0.3">
      <c r="A707" s="13">
        <v>45596</v>
      </c>
      <c r="B707" s="7" t="s">
        <v>123</v>
      </c>
      <c r="C707" s="7" t="s">
        <v>29</v>
      </c>
      <c r="D707" s="7" t="s">
        <v>103</v>
      </c>
      <c r="E707" s="7" t="s">
        <v>25</v>
      </c>
      <c r="F707" s="14">
        <v>2202</v>
      </c>
      <c r="G707" s="15">
        <v>213.06</v>
      </c>
      <c r="H707" s="16">
        <v>6.4879849079972879E-2</v>
      </c>
      <c r="I707" s="16">
        <v>2.5637461350718819E-2</v>
      </c>
      <c r="J707" s="15">
        <v>124.69</v>
      </c>
      <c r="K707" s="14">
        <v>1463</v>
      </c>
      <c r="L707" s="14">
        <v>556</v>
      </c>
      <c r="M707" s="15">
        <v>36.130000000000003</v>
      </c>
      <c r="N707" s="17">
        <v>469158.12</v>
      </c>
      <c r="O707" s="17">
        <v>30438.908020243809</v>
      </c>
      <c r="P707" s="17">
        <v>11247.646840948821</v>
      </c>
      <c r="Q707" s="17">
        <v>427471.56513880729</v>
      </c>
      <c r="R707" s="17">
        <v>274567.38</v>
      </c>
      <c r="S707" s="17">
        <v>152904.18513880731</v>
      </c>
      <c r="T707" s="17">
        <v>20088.28</v>
      </c>
    </row>
    <row r="708" spans="1:20" x14ac:dyDescent="0.3">
      <c r="A708" s="13">
        <v>45596</v>
      </c>
      <c r="B708" s="7" t="s">
        <v>123</v>
      </c>
      <c r="C708" s="7" t="s">
        <v>29</v>
      </c>
      <c r="D708" s="7" t="s">
        <v>103</v>
      </c>
      <c r="E708" s="7" t="s">
        <v>28</v>
      </c>
      <c r="F708" s="14">
        <v>740</v>
      </c>
      <c r="G708" s="15">
        <v>208.2</v>
      </c>
      <c r="H708" s="16">
        <v>9.0383286096630322E-2</v>
      </c>
      <c r="I708" s="16">
        <v>0.10236495886504569</v>
      </c>
      <c r="J708" s="15">
        <v>117.32</v>
      </c>
      <c r="K708" s="14">
        <v>650</v>
      </c>
      <c r="L708" s="14">
        <v>224</v>
      </c>
      <c r="M708" s="15">
        <v>18.07</v>
      </c>
      <c r="N708" s="17">
        <v>154068</v>
      </c>
      <c r="O708" s="17">
        <v>13925.17212233564</v>
      </c>
      <c r="P708" s="17">
        <v>14345.71481092829</v>
      </c>
      <c r="Q708" s="17">
        <v>125797.1130667361</v>
      </c>
      <c r="R708" s="17">
        <v>86816.799999999988</v>
      </c>
      <c r="S708" s="17">
        <v>38980.313066736082</v>
      </c>
      <c r="T708" s="17">
        <v>4047.68</v>
      </c>
    </row>
    <row r="709" spans="1:20" x14ac:dyDescent="0.3">
      <c r="A709" s="13">
        <v>45596</v>
      </c>
      <c r="B709" s="7" t="s">
        <v>123</v>
      </c>
      <c r="C709" s="7" t="s">
        <v>29</v>
      </c>
      <c r="D709" s="7" t="s">
        <v>103</v>
      </c>
      <c r="E709" s="7" t="s">
        <v>30</v>
      </c>
      <c r="F709" s="14">
        <v>835</v>
      </c>
      <c r="G709" s="15">
        <v>179.16</v>
      </c>
      <c r="H709" s="16">
        <v>4.2866117222090327E-2</v>
      </c>
      <c r="I709" s="16">
        <v>1.829089089876932E-2</v>
      </c>
      <c r="J709" s="15">
        <v>118.46</v>
      </c>
      <c r="K709" s="14">
        <v>73</v>
      </c>
      <c r="L709" s="14">
        <v>4</v>
      </c>
      <c r="M709" s="15">
        <v>5.04</v>
      </c>
      <c r="N709" s="17">
        <v>149598.6</v>
      </c>
      <c r="O709" s="17">
        <v>6412.7111238606021</v>
      </c>
      <c r="P709" s="17">
        <v>2618.9974716767738</v>
      </c>
      <c r="Q709" s="17">
        <v>140566.8914044626</v>
      </c>
      <c r="R709" s="17">
        <v>98914.099999999991</v>
      </c>
      <c r="S709" s="17">
        <v>41652.791404462638</v>
      </c>
      <c r="T709" s="17">
        <v>20.16</v>
      </c>
    </row>
    <row r="710" spans="1:20" x14ac:dyDescent="0.3">
      <c r="A710" s="13">
        <v>45596</v>
      </c>
      <c r="B710" s="7" t="s">
        <v>123</v>
      </c>
      <c r="C710" s="7" t="s">
        <v>29</v>
      </c>
      <c r="D710" s="7" t="s">
        <v>104</v>
      </c>
      <c r="E710" s="7" t="s">
        <v>25</v>
      </c>
      <c r="F710" s="14">
        <v>1607</v>
      </c>
      <c r="G710" s="15">
        <v>44.69</v>
      </c>
      <c r="H710" s="16">
        <v>5.6684563547759213E-2</v>
      </c>
      <c r="I710" s="16">
        <v>3.8317408655124577E-2</v>
      </c>
      <c r="J710" s="15">
        <v>22.44</v>
      </c>
      <c r="K710" s="14">
        <v>1042</v>
      </c>
      <c r="L710" s="14">
        <v>426</v>
      </c>
      <c r="M710" s="15">
        <v>21.94</v>
      </c>
      <c r="N710" s="17">
        <v>71816.83</v>
      </c>
      <c r="O710" s="17">
        <v>4070.90566393362</v>
      </c>
      <c r="P710" s="17">
        <v>2595.8482675042051</v>
      </c>
      <c r="Q710" s="17">
        <v>65150.076068562179</v>
      </c>
      <c r="R710" s="17">
        <v>36061.08</v>
      </c>
      <c r="S710" s="17">
        <v>29088.996068562181</v>
      </c>
      <c r="T710" s="17">
        <v>9346.44</v>
      </c>
    </row>
    <row r="711" spans="1:20" x14ac:dyDescent="0.3">
      <c r="A711" s="13">
        <v>45596</v>
      </c>
      <c r="B711" s="7" t="s">
        <v>123</v>
      </c>
      <c r="C711" s="7" t="s">
        <v>29</v>
      </c>
      <c r="D711" s="7" t="s">
        <v>104</v>
      </c>
      <c r="E711" s="7" t="s">
        <v>28</v>
      </c>
      <c r="F711" s="14">
        <v>858</v>
      </c>
      <c r="G711" s="15">
        <v>43.1</v>
      </c>
      <c r="H711" s="16">
        <v>9.4001500148360242E-2</v>
      </c>
      <c r="I711" s="16">
        <v>4.8822483445239741E-2</v>
      </c>
      <c r="J711" s="15">
        <v>22.32</v>
      </c>
      <c r="K711" s="14">
        <v>685</v>
      </c>
      <c r="L711" s="14">
        <v>227</v>
      </c>
      <c r="M711" s="15">
        <v>19.989999999999998</v>
      </c>
      <c r="N711" s="17">
        <v>36979.800000000003</v>
      </c>
      <c r="O711" s="17">
        <v>3476.156675186332</v>
      </c>
      <c r="P711" s="17">
        <v>1635.7310715809319</v>
      </c>
      <c r="Q711" s="17">
        <v>31867.912253232731</v>
      </c>
      <c r="R711" s="17">
        <v>19150.560000000001</v>
      </c>
      <c r="S711" s="17">
        <v>12717.35225323273</v>
      </c>
      <c r="T711" s="17">
        <v>4537.7299999999996</v>
      </c>
    </row>
    <row r="712" spans="1:20" x14ac:dyDescent="0.3">
      <c r="A712" s="13">
        <v>45596</v>
      </c>
      <c r="B712" s="7" t="s">
        <v>123</v>
      </c>
      <c r="C712" s="7" t="s">
        <v>29</v>
      </c>
      <c r="D712" s="7" t="s">
        <v>104</v>
      </c>
      <c r="E712" s="7" t="s">
        <v>30</v>
      </c>
      <c r="F712" s="14">
        <v>644</v>
      </c>
      <c r="G712" s="15">
        <v>36.549999999999997</v>
      </c>
      <c r="H712" s="16">
        <v>4.7425955548677221E-2</v>
      </c>
      <c r="I712" s="16">
        <v>9.5710378054749811E-3</v>
      </c>
      <c r="J712" s="15">
        <v>23.05</v>
      </c>
      <c r="K712" s="14">
        <v>53</v>
      </c>
      <c r="L712" s="14">
        <v>3</v>
      </c>
      <c r="M712" s="15">
        <v>5.27</v>
      </c>
      <c r="N712" s="17">
        <v>23538.2</v>
      </c>
      <c r="O712" s="17">
        <v>1116.321626895874</v>
      </c>
      <c r="P712" s="17">
        <v>214.60064557874139</v>
      </c>
      <c r="Q712" s="17">
        <v>22207.277727525379</v>
      </c>
      <c r="R712" s="17">
        <v>14844.2</v>
      </c>
      <c r="S712" s="17">
        <v>7363.0777275253786</v>
      </c>
      <c r="T712" s="17">
        <v>15.81</v>
      </c>
    </row>
    <row r="713" spans="1:20" x14ac:dyDescent="0.3">
      <c r="A713" s="13">
        <v>45596</v>
      </c>
      <c r="B713" s="7" t="s">
        <v>123</v>
      </c>
      <c r="C713" s="7" t="s">
        <v>31</v>
      </c>
      <c r="D713" s="7" t="s">
        <v>102</v>
      </c>
      <c r="E713" s="7" t="s">
        <v>25</v>
      </c>
      <c r="F713" s="14">
        <v>1935</v>
      </c>
      <c r="G713" s="15">
        <v>108.89</v>
      </c>
      <c r="H713" s="16">
        <v>7.8995742925439802E-2</v>
      </c>
      <c r="I713" s="16">
        <v>4.3980482165092621E-2</v>
      </c>
      <c r="J713" s="15">
        <v>69.89</v>
      </c>
      <c r="K713" s="14">
        <v>1436</v>
      </c>
      <c r="L713" s="14">
        <v>549</v>
      </c>
      <c r="M713" s="15">
        <v>29.55</v>
      </c>
      <c r="N713" s="17">
        <v>210702.15</v>
      </c>
      <c r="O713" s="17">
        <v>16644.57287523746</v>
      </c>
      <c r="P713" s="17">
        <v>8534.7458097367034</v>
      </c>
      <c r="Q713" s="17">
        <v>185522.8313150258</v>
      </c>
      <c r="R713" s="17">
        <v>135237.15</v>
      </c>
      <c r="S713" s="17">
        <v>50285.681315025839</v>
      </c>
      <c r="T713" s="17">
        <v>16222.95</v>
      </c>
    </row>
    <row r="714" spans="1:20" x14ac:dyDescent="0.3">
      <c r="A714" s="13">
        <v>45596</v>
      </c>
      <c r="B714" s="7" t="s">
        <v>123</v>
      </c>
      <c r="C714" s="7" t="s">
        <v>31</v>
      </c>
      <c r="D714" s="7" t="s">
        <v>102</v>
      </c>
      <c r="E714" s="7" t="s">
        <v>28</v>
      </c>
      <c r="F714" s="14">
        <v>1096</v>
      </c>
      <c r="G714" s="15">
        <v>100.07</v>
      </c>
      <c r="H714" s="16">
        <v>9.3491898055312148E-2</v>
      </c>
      <c r="I714" s="16">
        <v>8.583232646712291E-2</v>
      </c>
      <c r="J714" s="15">
        <v>67.48</v>
      </c>
      <c r="K714" s="14">
        <v>904</v>
      </c>
      <c r="L714" s="14">
        <v>280</v>
      </c>
      <c r="M714" s="15">
        <v>16.04</v>
      </c>
      <c r="N714" s="17">
        <v>109676.72</v>
      </c>
      <c r="O714" s="17">
        <v>10253.88472528101</v>
      </c>
      <c r="P714" s="17">
        <v>8533.6932555866624</v>
      </c>
      <c r="Q714" s="17">
        <v>90889.142019132312</v>
      </c>
      <c r="R714" s="17">
        <v>73958.080000000002</v>
      </c>
      <c r="S714" s="17">
        <v>16931.062019132311</v>
      </c>
      <c r="T714" s="17">
        <v>4491.2</v>
      </c>
    </row>
    <row r="715" spans="1:20" x14ac:dyDescent="0.3">
      <c r="A715" s="13">
        <v>45596</v>
      </c>
      <c r="B715" s="7" t="s">
        <v>123</v>
      </c>
      <c r="C715" s="7" t="s">
        <v>31</v>
      </c>
      <c r="D715" s="7" t="s">
        <v>102</v>
      </c>
      <c r="E715" s="7" t="s">
        <v>30</v>
      </c>
      <c r="F715" s="14">
        <v>746</v>
      </c>
      <c r="G715" s="15">
        <v>91.13</v>
      </c>
      <c r="H715" s="16">
        <v>5.1018945680612431E-2</v>
      </c>
      <c r="I715" s="16">
        <v>1.9737474657306742E-2</v>
      </c>
      <c r="J715" s="15">
        <v>68.77</v>
      </c>
      <c r="K715" s="14">
        <v>59</v>
      </c>
      <c r="L715" s="14">
        <v>3</v>
      </c>
      <c r="M715" s="15">
        <v>5.04</v>
      </c>
      <c r="N715" s="17">
        <v>67982.98</v>
      </c>
      <c r="O715" s="17">
        <v>3468.4199638261612</v>
      </c>
      <c r="P715" s="17">
        <v>1273.3544937412751</v>
      </c>
      <c r="Q715" s="17">
        <v>63241.205542432559</v>
      </c>
      <c r="R715" s="17">
        <v>51302.42</v>
      </c>
      <c r="S715" s="17">
        <v>11938.785542432561</v>
      </c>
      <c r="T715" s="17">
        <v>15.12</v>
      </c>
    </row>
    <row r="716" spans="1:20" x14ac:dyDescent="0.3">
      <c r="A716" s="13">
        <v>45596</v>
      </c>
      <c r="B716" s="7" t="s">
        <v>123</v>
      </c>
      <c r="C716" s="7" t="s">
        <v>31</v>
      </c>
      <c r="D716" s="7" t="s">
        <v>103</v>
      </c>
      <c r="E716" s="7" t="s">
        <v>25</v>
      </c>
      <c r="F716" s="14">
        <v>1215</v>
      </c>
      <c r="G716" s="15">
        <v>203.5</v>
      </c>
      <c r="H716" s="16">
        <v>7.6083140977446145E-2</v>
      </c>
      <c r="I716" s="16">
        <v>5.4120268785432503E-2</v>
      </c>
      <c r="J716" s="15">
        <v>116.18</v>
      </c>
      <c r="K716" s="14">
        <v>832</v>
      </c>
      <c r="L716" s="14">
        <v>305</v>
      </c>
      <c r="M716" s="15">
        <v>32.57</v>
      </c>
      <c r="N716" s="17">
        <v>247252.5</v>
      </c>
      <c r="O716" s="17">
        <v>18811.746814525999</v>
      </c>
      <c r="P716" s="17">
        <v>12363.274963944499</v>
      </c>
      <c r="Q716" s="17">
        <v>216077.47822152951</v>
      </c>
      <c r="R716" s="17">
        <v>141158.70000000001</v>
      </c>
      <c r="S716" s="17">
        <v>74918.778221529472</v>
      </c>
      <c r="T716" s="17">
        <v>9933.85</v>
      </c>
    </row>
    <row r="717" spans="1:20" x14ac:dyDescent="0.3">
      <c r="A717" s="13">
        <v>45596</v>
      </c>
      <c r="B717" s="7" t="s">
        <v>123</v>
      </c>
      <c r="C717" s="7" t="s">
        <v>31</v>
      </c>
      <c r="D717" s="7" t="s">
        <v>103</v>
      </c>
      <c r="E717" s="7" t="s">
        <v>28</v>
      </c>
      <c r="F717" s="14">
        <v>488</v>
      </c>
      <c r="G717" s="15">
        <v>185.58</v>
      </c>
      <c r="H717" s="16">
        <v>7.3464245443909004E-2</v>
      </c>
      <c r="I717" s="16">
        <v>6.5501196118383856E-2</v>
      </c>
      <c r="J717" s="15">
        <v>117.05</v>
      </c>
      <c r="K717" s="14">
        <v>391</v>
      </c>
      <c r="L717" s="14">
        <v>117</v>
      </c>
      <c r="M717" s="15">
        <v>18.66</v>
      </c>
      <c r="N717" s="17">
        <v>90563.040000000008</v>
      </c>
      <c r="O717" s="17">
        <v>6653.1453987065497</v>
      </c>
      <c r="P717" s="17">
        <v>5496.1984625522418</v>
      </c>
      <c r="Q717" s="17">
        <v>78413.696138741216</v>
      </c>
      <c r="R717" s="17">
        <v>57120.4</v>
      </c>
      <c r="S717" s="17">
        <v>21293.296138741211</v>
      </c>
      <c r="T717" s="17">
        <v>2183.2199999999998</v>
      </c>
    </row>
    <row r="718" spans="1:20" x14ac:dyDescent="0.3">
      <c r="A718" s="13">
        <v>45596</v>
      </c>
      <c r="B718" s="7" t="s">
        <v>123</v>
      </c>
      <c r="C718" s="7" t="s">
        <v>31</v>
      </c>
      <c r="D718" s="7" t="s">
        <v>103</v>
      </c>
      <c r="E718" s="7" t="s">
        <v>30</v>
      </c>
      <c r="F718" s="14">
        <v>366</v>
      </c>
      <c r="G718" s="15">
        <v>162.87</v>
      </c>
      <c r="H718" s="16">
        <v>6.0432292685010512E-2</v>
      </c>
      <c r="I718" s="16">
        <v>1.3220148275700181E-2</v>
      </c>
      <c r="J718" s="15">
        <v>117.72</v>
      </c>
      <c r="K718" s="14">
        <v>29</v>
      </c>
      <c r="L718" s="14">
        <v>2</v>
      </c>
      <c r="M718" s="15">
        <v>4.0599999999999996</v>
      </c>
      <c r="N718" s="17">
        <v>59610.42</v>
      </c>
      <c r="O718" s="17">
        <v>3602.3943485164041</v>
      </c>
      <c r="P718" s="17">
        <v>740.43440374183228</v>
      </c>
      <c r="Q718" s="17">
        <v>55267.591247741759</v>
      </c>
      <c r="R718" s="17">
        <v>43085.52</v>
      </c>
      <c r="S718" s="17">
        <v>12182.07124774176</v>
      </c>
      <c r="T718" s="17">
        <v>8.1199999999999992</v>
      </c>
    </row>
    <row r="719" spans="1:20" x14ac:dyDescent="0.3">
      <c r="A719" s="13">
        <v>45596</v>
      </c>
      <c r="B719" s="7" t="s">
        <v>123</v>
      </c>
      <c r="C719" s="7" t="s">
        <v>31</v>
      </c>
      <c r="D719" s="7" t="s">
        <v>104</v>
      </c>
      <c r="E719" s="7" t="s">
        <v>25</v>
      </c>
      <c r="F719" s="14">
        <v>896</v>
      </c>
      <c r="G719" s="15">
        <v>42.81</v>
      </c>
      <c r="H719" s="16">
        <v>7.03090212126143E-2</v>
      </c>
      <c r="I719" s="16">
        <v>4.5166444459359682E-2</v>
      </c>
      <c r="J719" s="15">
        <v>21.07</v>
      </c>
      <c r="K719" s="14">
        <v>610</v>
      </c>
      <c r="L719" s="14">
        <v>225</v>
      </c>
      <c r="M719" s="15">
        <v>23.91</v>
      </c>
      <c r="N719" s="17">
        <v>38357.760000000002</v>
      </c>
      <c r="O719" s="17">
        <v>2696.896561508368</v>
      </c>
      <c r="P719" s="17">
        <v>1610.6744078674431</v>
      </c>
      <c r="Q719" s="17">
        <v>34050.189030624191</v>
      </c>
      <c r="R719" s="17">
        <v>18878.72</v>
      </c>
      <c r="S719" s="17">
        <v>15171.46903062419</v>
      </c>
      <c r="T719" s="17">
        <v>5379.75</v>
      </c>
    </row>
    <row r="720" spans="1:20" x14ac:dyDescent="0.3">
      <c r="A720" s="13">
        <v>45596</v>
      </c>
      <c r="B720" s="7" t="s">
        <v>123</v>
      </c>
      <c r="C720" s="7" t="s">
        <v>31</v>
      </c>
      <c r="D720" s="7" t="s">
        <v>104</v>
      </c>
      <c r="E720" s="7" t="s">
        <v>28</v>
      </c>
      <c r="F720" s="14">
        <v>375</v>
      </c>
      <c r="G720" s="15">
        <v>39.33</v>
      </c>
      <c r="H720" s="16">
        <v>0.1030761300885194</v>
      </c>
      <c r="I720" s="16">
        <v>3.5649262050881349E-2</v>
      </c>
      <c r="J720" s="15">
        <v>22.94</v>
      </c>
      <c r="K720" s="14">
        <v>309</v>
      </c>
      <c r="L720" s="14">
        <v>96</v>
      </c>
      <c r="M720" s="15">
        <v>17.47</v>
      </c>
      <c r="N720" s="17">
        <v>14748.75</v>
      </c>
      <c r="O720" s="17">
        <v>1520.244073643051</v>
      </c>
      <c r="P720" s="17">
        <v>471.5864743103358</v>
      </c>
      <c r="Q720" s="17">
        <v>12756.91945204661</v>
      </c>
      <c r="R720" s="17">
        <v>8602.5</v>
      </c>
      <c r="S720" s="17">
        <v>4154.4194520466144</v>
      </c>
      <c r="T720" s="17">
        <v>1677.12</v>
      </c>
    </row>
    <row r="721" spans="1:20" x14ac:dyDescent="0.3">
      <c r="A721" s="13">
        <v>45596</v>
      </c>
      <c r="B721" s="7" t="s">
        <v>123</v>
      </c>
      <c r="C721" s="7" t="s">
        <v>31</v>
      </c>
      <c r="D721" s="7" t="s">
        <v>104</v>
      </c>
      <c r="E721" s="7" t="s">
        <v>30</v>
      </c>
      <c r="F721" s="14">
        <v>333</v>
      </c>
      <c r="G721" s="15">
        <v>33.25</v>
      </c>
      <c r="H721" s="16">
        <v>5.3390508786947538E-2</v>
      </c>
      <c r="I721" s="16">
        <v>1.8220129578070839E-2</v>
      </c>
      <c r="J721" s="15">
        <v>21.73</v>
      </c>
      <c r="K721" s="14">
        <v>27</v>
      </c>
      <c r="L721" s="14">
        <v>2</v>
      </c>
      <c r="M721" s="15">
        <v>5.63</v>
      </c>
      <c r="N721" s="17">
        <v>11072.25</v>
      </c>
      <c r="O721" s="17">
        <v>591.15306091627986</v>
      </c>
      <c r="P721" s="17">
        <v>190.96694435042701</v>
      </c>
      <c r="Q721" s="17">
        <v>10290.12999473329</v>
      </c>
      <c r="R721" s="17">
        <v>7236.09</v>
      </c>
      <c r="S721" s="17">
        <v>3054.039994733293</v>
      </c>
      <c r="T721" s="17">
        <v>11.26</v>
      </c>
    </row>
    <row r="722" spans="1:20" x14ac:dyDescent="0.3">
      <c r="A722" s="13">
        <v>45626</v>
      </c>
      <c r="B722" s="7" t="s">
        <v>124</v>
      </c>
      <c r="C722" s="7" t="s">
        <v>24</v>
      </c>
      <c r="D722" s="7" t="s">
        <v>102</v>
      </c>
      <c r="E722" s="7" t="s">
        <v>25</v>
      </c>
      <c r="F722" s="14">
        <v>8235</v>
      </c>
      <c r="G722" s="15">
        <v>126.97</v>
      </c>
      <c r="H722" s="16">
        <v>9.7980337591973096E-2</v>
      </c>
      <c r="I722" s="16">
        <v>3.89302853014152E-2</v>
      </c>
      <c r="J722" s="15">
        <v>77.099999999999994</v>
      </c>
      <c r="K722" s="14">
        <v>5783</v>
      </c>
      <c r="L722" s="14">
        <v>2474</v>
      </c>
      <c r="M722" s="15">
        <v>21.94</v>
      </c>
      <c r="N722" s="17">
        <v>1045597.95</v>
      </c>
      <c r="O722" s="17">
        <v>102448.040126475</v>
      </c>
      <c r="P722" s="17">
        <v>36717.095073380347</v>
      </c>
      <c r="Q722" s="17">
        <v>906432.81480014452</v>
      </c>
      <c r="R722" s="17">
        <v>634918.5</v>
      </c>
      <c r="S722" s="17">
        <v>271514.31480014452</v>
      </c>
      <c r="T722" s="17">
        <v>54279.56</v>
      </c>
    </row>
    <row r="723" spans="1:20" x14ac:dyDescent="0.3">
      <c r="A723" s="13">
        <v>45626</v>
      </c>
      <c r="B723" s="7" t="s">
        <v>124</v>
      </c>
      <c r="C723" s="7" t="s">
        <v>24</v>
      </c>
      <c r="D723" s="7" t="s">
        <v>102</v>
      </c>
      <c r="E723" s="7" t="s">
        <v>28</v>
      </c>
      <c r="F723" s="14">
        <v>4307</v>
      </c>
      <c r="G723" s="15">
        <v>120.66</v>
      </c>
      <c r="H723" s="16">
        <v>0.1225109603306543</v>
      </c>
      <c r="I723" s="16">
        <v>5.5727445933866977E-2</v>
      </c>
      <c r="J723" s="15">
        <v>72.62</v>
      </c>
      <c r="K723" s="14">
        <v>3356</v>
      </c>
      <c r="L723" s="14">
        <v>855</v>
      </c>
      <c r="M723" s="15">
        <v>28.04</v>
      </c>
      <c r="N723" s="17">
        <v>519682.62</v>
      </c>
      <c r="O723" s="17">
        <v>63666.816843350469</v>
      </c>
      <c r="P723" s="17">
        <v>25412.596015401112</v>
      </c>
      <c r="Q723" s="17">
        <v>430603.20714124839</v>
      </c>
      <c r="R723" s="17">
        <v>312774.34000000003</v>
      </c>
      <c r="S723" s="17">
        <v>117828.8671412484</v>
      </c>
      <c r="T723" s="17">
        <v>23974.2</v>
      </c>
    </row>
    <row r="724" spans="1:20" x14ac:dyDescent="0.3">
      <c r="A724" s="13">
        <v>45626</v>
      </c>
      <c r="B724" s="7" t="s">
        <v>124</v>
      </c>
      <c r="C724" s="7" t="s">
        <v>24</v>
      </c>
      <c r="D724" s="7" t="s">
        <v>102</v>
      </c>
      <c r="E724" s="7" t="s">
        <v>30</v>
      </c>
      <c r="F724" s="14">
        <v>3233</v>
      </c>
      <c r="G724" s="15">
        <v>105.25</v>
      </c>
      <c r="H724" s="16">
        <v>6.7498546411916022E-2</v>
      </c>
      <c r="I724" s="16">
        <v>1.7947407586351351E-2</v>
      </c>
      <c r="J724" s="15">
        <v>76.83</v>
      </c>
      <c r="K724" s="14">
        <v>275</v>
      </c>
      <c r="L724" s="14">
        <v>16</v>
      </c>
      <c r="M724" s="15">
        <v>6.06</v>
      </c>
      <c r="N724" s="17">
        <v>340273.25</v>
      </c>
      <c r="O724" s="17">
        <v>22967.9497578585</v>
      </c>
      <c r="P724" s="17">
        <v>5694.8075527553028</v>
      </c>
      <c r="Q724" s="17">
        <v>311610.49268938618</v>
      </c>
      <c r="R724" s="17">
        <v>248391.39</v>
      </c>
      <c r="S724" s="17">
        <v>63219.1026893862</v>
      </c>
      <c r="T724" s="17">
        <v>96.96</v>
      </c>
    </row>
    <row r="725" spans="1:20" x14ac:dyDescent="0.3">
      <c r="A725" s="13">
        <v>45626</v>
      </c>
      <c r="B725" s="7" t="s">
        <v>124</v>
      </c>
      <c r="C725" s="7" t="s">
        <v>24</v>
      </c>
      <c r="D725" s="7" t="s">
        <v>103</v>
      </c>
      <c r="E725" s="7" t="s">
        <v>25</v>
      </c>
      <c r="F725" s="14">
        <v>4339</v>
      </c>
      <c r="G725" s="15">
        <v>249.37</v>
      </c>
      <c r="H725" s="16">
        <v>8.6886067500363942E-2</v>
      </c>
      <c r="I725" s="16">
        <v>5.1032175720536588E-2</v>
      </c>
      <c r="J725" s="15">
        <v>130.29</v>
      </c>
      <c r="K725" s="14">
        <v>2717</v>
      </c>
      <c r="L725" s="14">
        <v>1010</v>
      </c>
      <c r="M725" s="15">
        <v>33.26</v>
      </c>
      <c r="N725" s="17">
        <v>1082016.43</v>
      </c>
      <c r="O725" s="17">
        <v>94012.152573482817</v>
      </c>
      <c r="P725" s="17">
        <v>50420.007898271797</v>
      </c>
      <c r="Q725" s="17">
        <v>937584.26952824532</v>
      </c>
      <c r="R725" s="17">
        <v>565328.30999999994</v>
      </c>
      <c r="S725" s="17">
        <v>372255.95952824538</v>
      </c>
      <c r="T725" s="17">
        <v>33592.6</v>
      </c>
    </row>
    <row r="726" spans="1:20" x14ac:dyDescent="0.3">
      <c r="A726" s="13">
        <v>45626</v>
      </c>
      <c r="B726" s="7" t="s">
        <v>124</v>
      </c>
      <c r="C726" s="7" t="s">
        <v>24</v>
      </c>
      <c r="D726" s="7" t="s">
        <v>103</v>
      </c>
      <c r="E726" s="7" t="s">
        <v>28</v>
      </c>
      <c r="F726" s="14">
        <v>1654</v>
      </c>
      <c r="G726" s="15">
        <v>215.1</v>
      </c>
      <c r="H726" s="16">
        <v>0.1231707081339784</v>
      </c>
      <c r="I726" s="16">
        <v>4.1252694906159543E-2</v>
      </c>
      <c r="J726" s="15">
        <v>123.9</v>
      </c>
      <c r="K726" s="14">
        <v>1244</v>
      </c>
      <c r="L726" s="14">
        <v>389</v>
      </c>
      <c r="M726" s="15">
        <v>18.11</v>
      </c>
      <c r="N726" s="17">
        <v>355775.4</v>
      </c>
      <c r="O726" s="17">
        <v>43821.107954649429</v>
      </c>
      <c r="P726" s="17">
        <v>12868.955234413839</v>
      </c>
      <c r="Q726" s="17">
        <v>299085.33681093669</v>
      </c>
      <c r="R726" s="17">
        <v>204930.6</v>
      </c>
      <c r="S726" s="17">
        <v>94154.73681093668</v>
      </c>
      <c r="T726" s="17">
        <v>7044.79</v>
      </c>
    </row>
    <row r="727" spans="1:20" x14ac:dyDescent="0.3">
      <c r="A727" s="13">
        <v>45626</v>
      </c>
      <c r="B727" s="7" t="s">
        <v>124</v>
      </c>
      <c r="C727" s="7" t="s">
        <v>24</v>
      </c>
      <c r="D727" s="7" t="s">
        <v>103</v>
      </c>
      <c r="E727" s="7" t="s">
        <v>30</v>
      </c>
      <c r="F727" s="14">
        <v>1616</v>
      </c>
      <c r="G727" s="15">
        <v>188.68</v>
      </c>
      <c r="H727" s="16">
        <v>5.2418070665240929E-2</v>
      </c>
      <c r="I727" s="16">
        <v>1.9454882900182682E-2</v>
      </c>
      <c r="J727" s="15">
        <v>125.02</v>
      </c>
      <c r="K727" s="14">
        <v>129</v>
      </c>
      <c r="L727" s="14">
        <v>8</v>
      </c>
      <c r="M727" s="15">
        <v>5.14</v>
      </c>
      <c r="N727" s="17">
        <v>304906.88</v>
      </c>
      <c r="O727" s="17">
        <v>15982.63038215814</v>
      </c>
      <c r="P727" s="17">
        <v>5620.9874433382638</v>
      </c>
      <c r="Q727" s="17">
        <v>283303.26217450359</v>
      </c>
      <c r="R727" s="17">
        <v>202032.32</v>
      </c>
      <c r="S727" s="17">
        <v>81270.94217450358</v>
      </c>
      <c r="T727" s="17">
        <v>41.12</v>
      </c>
    </row>
    <row r="728" spans="1:20" x14ac:dyDescent="0.3">
      <c r="A728" s="13">
        <v>45626</v>
      </c>
      <c r="B728" s="7" t="s">
        <v>124</v>
      </c>
      <c r="C728" s="7" t="s">
        <v>24</v>
      </c>
      <c r="D728" s="7" t="s">
        <v>104</v>
      </c>
      <c r="E728" s="7" t="s">
        <v>25</v>
      </c>
      <c r="F728" s="14">
        <v>4328</v>
      </c>
      <c r="G728" s="15">
        <v>46.46</v>
      </c>
      <c r="H728" s="16">
        <v>0.1010774722889866</v>
      </c>
      <c r="I728" s="16">
        <v>4.1843090640781039E-2</v>
      </c>
      <c r="J728" s="15">
        <v>22.61</v>
      </c>
      <c r="K728" s="14">
        <v>2957</v>
      </c>
      <c r="L728" s="14">
        <v>1116</v>
      </c>
      <c r="M728" s="15">
        <v>21.03</v>
      </c>
      <c r="N728" s="17">
        <v>201078.88</v>
      </c>
      <c r="O728" s="17">
        <v>20324.54492110046</v>
      </c>
      <c r="P728" s="17">
        <v>7563.3200264205016</v>
      </c>
      <c r="Q728" s="17">
        <v>173191.01505247911</v>
      </c>
      <c r="R728" s="17">
        <v>97856.08</v>
      </c>
      <c r="S728" s="17">
        <v>75334.93505247905</v>
      </c>
      <c r="T728" s="17">
        <v>23469.48</v>
      </c>
    </row>
    <row r="729" spans="1:20" x14ac:dyDescent="0.3">
      <c r="A729" s="13">
        <v>45626</v>
      </c>
      <c r="B729" s="7" t="s">
        <v>124</v>
      </c>
      <c r="C729" s="7" t="s">
        <v>24</v>
      </c>
      <c r="D729" s="7" t="s">
        <v>104</v>
      </c>
      <c r="E729" s="7" t="s">
        <v>28</v>
      </c>
      <c r="F729" s="14">
        <v>1997</v>
      </c>
      <c r="G729" s="15">
        <v>45.31</v>
      </c>
      <c r="H729" s="16">
        <v>9.8461957284899648E-2</v>
      </c>
      <c r="I729" s="16">
        <v>3.7597353326202849E-2</v>
      </c>
      <c r="J729" s="15">
        <v>21.44</v>
      </c>
      <c r="K729" s="14">
        <v>1582</v>
      </c>
      <c r="L729" s="14">
        <v>458</v>
      </c>
      <c r="M729" s="15">
        <v>20.34</v>
      </c>
      <c r="N729" s="17">
        <v>90484.07</v>
      </c>
      <c r="O729" s="17">
        <v>8909.238635303871</v>
      </c>
      <c r="P729" s="17">
        <v>3066.997757343895</v>
      </c>
      <c r="Q729" s="17">
        <v>78507.833607352237</v>
      </c>
      <c r="R729" s="17">
        <v>42815.68</v>
      </c>
      <c r="S729" s="17">
        <v>35692.153607352237</v>
      </c>
      <c r="T729" s="17">
        <v>9315.7199999999993</v>
      </c>
    </row>
    <row r="730" spans="1:20" x14ac:dyDescent="0.3">
      <c r="A730" s="13">
        <v>45626</v>
      </c>
      <c r="B730" s="7" t="s">
        <v>124</v>
      </c>
      <c r="C730" s="7" t="s">
        <v>24</v>
      </c>
      <c r="D730" s="7" t="s">
        <v>104</v>
      </c>
      <c r="E730" s="7" t="s">
        <v>30</v>
      </c>
      <c r="F730" s="14">
        <v>1117</v>
      </c>
      <c r="G730" s="15">
        <v>38.28</v>
      </c>
      <c r="H730" s="16">
        <v>6.4063373812003291E-2</v>
      </c>
      <c r="I730" s="16">
        <v>2.1215673275692449E-2</v>
      </c>
      <c r="J730" s="15">
        <v>22.57</v>
      </c>
      <c r="K730" s="14">
        <v>104</v>
      </c>
      <c r="L730" s="14">
        <v>6</v>
      </c>
      <c r="M730" s="15">
        <v>5.55</v>
      </c>
      <c r="N730" s="17">
        <v>42758.76</v>
      </c>
      <c r="O730" s="17">
        <v>2739.270425617734</v>
      </c>
      <c r="P730" s="17">
        <v>849.04041547007444</v>
      </c>
      <c r="Q730" s="17">
        <v>39170.449158912197</v>
      </c>
      <c r="R730" s="17">
        <v>25210.69</v>
      </c>
      <c r="S730" s="17">
        <v>13959.7591589122</v>
      </c>
      <c r="T730" s="17">
        <v>33.299999999999997</v>
      </c>
    </row>
    <row r="731" spans="1:20" x14ac:dyDescent="0.3">
      <c r="A731" s="13">
        <v>45626</v>
      </c>
      <c r="B731" s="7" t="s">
        <v>124</v>
      </c>
      <c r="C731" s="7" t="s">
        <v>27</v>
      </c>
      <c r="D731" s="7" t="s">
        <v>102</v>
      </c>
      <c r="E731" s="7" t="s">
        <v>25</v>
      </c>
      <c r="F731" s="14">
        <v>5467</v>
      </c>
      <c r="G731" s="15">
        <v>129.94999999999999</v>
      </c>
      <c r="H731" s="16">
        <v>8.3006068237086728E-2</v>
      </c>
      <c r="I731" s="16">
        <v>3.6990196876067777E-2</v>
      </c>
      <c r="J731" s="15">
        <v>74.33</v>
      </c>
      <c r="K731" s="14">
        <v>3562</v>
      </c>
      <c r="L731" s="14">
        <v>1208</v>
      </c>
      <c r="M731" s="15">
        <v>39.159999999999997</v>
      </c>
      <c r="N731" s="17">
        <v>710436.64999999991</v>
      </c>
      <c r="O731" s="17">
        <v>58970.553048027286</v>
      </c>
      <c r="P731" s="17">
        <v>24097.859184336929</v>
      </c>
      <c r="Q731" s="17">
        <v>627368.23776763561</v>
      </c>
      <c r="R731" s="17">
        <v>406362.11</v>
      </c>
      <c r="S731" s="17">
        <v>221006.1277676356</v>
      </c>
      <c r="T731" s="17">
        <v>47305.279999999999</v>
      </c>
    </row>
    <row r="732" spans="1:20" x14ac:dyDescent="0.3">
      <c r="A732" s="13">
        <v>45626</v>
      </c>
      <c r="B732" s="7" t="s">
        <v>124</v>
      </c>
      <c r="C732" s="7" t="s">
        <v>27</v>
      </c>
      <c r="D732" s="7" t="s">
        <v>102</v>
      </c>
      <c r="E732" s="7" t="s">
        <v>28</v>
      </c>
      <c r="F732" s="14">
        <v>3697</v>
      </c>
      <c r="G732" s="15">
        <v>127.51</v>
      </c>
      <c r="H732" s="16">
        <v>0.1092032149094929</v>
      </c>
      <c r="I732" s="16">
        <v>5.0142975565829133E-2</v>
      </c>
      <c r="J732" s="15">
        <v>74.180000000000007</v>
      </c>
      <c r="K732" s="14">
        <v>3040</v>
      </c>
      <c r="L732" s="14">
        <v>814</v>
      </c>
      <c r="M732" s="15">
        <v>15.88</v>
      </c>
      <c r="N732" s="17">
        <v>471404.47</v>
      </c>
      <c r="O732" s="17">
        <v>51478.883646705603</v>
      </c>
      <c r="P732" s="17">
        <v>21056.318415979709</v>
      </c>
      <c r="Q732" s="17">
        <v>398869.2679373147</v>
      </c>
      <c r="R732" s="17">
        <v>274243.46000000002</v>
      </c>
      <c r="S732" s="17">
        <v>124625.8079373147</v>
      </c>
      <c r="T732" s="17">
        <v>12926.32</v>
      </c>
    </row>
    <row r="733" spans="1:20" x14ac:dyDescent="0.3">
      <c r="A733" s="13">
        <v>45626</v>
      </c>
      <c r="B733" s="7" t="s">
        <v>124</v>
      </c>
      <c r="C733" s="7" t="s">
        <v>27</v>
      </c>
      <c r="D733" s="7" t="s">
        <v>102</v>
      </c>
      <c r="E733" s="7" t="s">
        <v>30</v>
      </c>
      <c r="F733" s="14">
        <v>2212</v>
      </c>
      <c r="G733" s="15">
        <v>113.85</v>
      </c>
      <c r="H733" s="16">
        <v>6.0438226584583872E-2</v>
      </c>
      <c r="I733" s="16">
        <v>2.6355326630035161E-2</v>
      </c>
      <c r="J733" s="15">
        <v>73.540000000000006</v>
      </c>
      <c r="K733" s="14">
        <v>180</v>
      </c>
      <c r="L733" s="14">
        <v>11</v>
      </c>
      <c r="M733" s="15">
        <v>3.54</v>
      </c>
      <c r="N733" s="17">
        <v>251836.2</v>
      </c>
      <c r="O733" s="17">
        <v>15220.53331780058</v>
      </c>
      <c r="P733" s="17">
        <v>6236.0831811928938</v>
      </c>
      <c r="Q733" s="17">
        <v>230379.58350100651</v>
      </c>
      <c r="R733" s="17">
        <v>162670.48000000001</v>
      </c>
      <c r="S733" s="17">
        <v>67709.103501006495</v>
      </c>
      <c r="T733" s="17">
        <v>38.94</v>
      </c>
    </row>
    <row r="734" spans="1:20" x14ac:dyDescent="0.3">
      <c r="A734" s="13">
        <v>45626</v>
      </c>
      <c r="B734" s="7" t="s">
        <v>124</v>
      </c>
      <c r="C734" s="7" t="s">
        <v>27</v>
      </c>
      <c r="D734" s="7" t="s">
        <v>103</v>
      </c>
      <c r="E734" s="7" t="s">
        <v>25</v>
      </c>
      <c r="F734" s="14">
        <v>3174</v>
      </c>
      <c r="G734" s="15">
        <v>237.11</v>
      </c>
      <c r="H734" s="16">
        <v>0.1087981552100214</v>
      </c>
      <c r="I734" s="16">
        <v>4.6722934080404017E-2</v>
      </c>
      <c r="J734" s="15">
        <v>124.04</v>
      </c>
      <c r="K734" s="14">
        <v>2117</v>
      </c>
      <c r="L734" s="14">
        <v>820</v>
      </c>
      <c r="M734" s="15">
        <v>23.48</v>
      </c>
      <c r="N734" s="17">
        <v>752587.14</v>
      </c>
      <c r="O734" s="17">
        <v>81880.092466786111</v>
      </c>
      <c r="P734" s="17">
        <v>31337.401169156761</v>
      </c>
      <c r="Q734" s="17">
        <v>639369.64636405709</v>
      </c>
      <c r="R734" s="17">
        <v>393702.96</v>
      </c>
      <c r="S734" s="17">
        <v>245666.6863640571</v>
      </c>
      <c r="T734" s="17">
        <v>19253.599999999999</v>
      </c>
    </row>
    <row r="735" spans="1:20" x14ac:dyDescent="0.3">
      <c r="A735" s="13">
        <v>45626</v>
      </c>
      <c r="B735" s="7" t="s">
        <v>124</v>
      </c>
      <c r="C735" s="7" t="s">
        <v>27</v>
      </c>
      <c r="D735" s="7" t="s">
        <v>103</v>
      </c>
      <c r="E735" s="7" t="s">
        <v>28</v>
      </c>
      <c r="F735" s="14">
        <v>1820</v>
      </c>
      <c r="G735" s="15">
        <v>223.7</v>
      </c>
      <c r="H735" s="16">
        <v>0.11368599229917201</v>
      </c>
      <c r="I735" s="16">
        <v>5.6584205777463703E-2</v>
      </c>
      <c r="J735" s="15">
        <v>132.68</v>
      </c>
      <c r="K735" s="14">
        <v>1472</v>
      </c>
      <c r="L735" s="14">
        <v>419</v>
      </c>
      <c r="M735" s="15">
        <v>13.47</v>
      </c>
      <c r="N735" s="17">
        <v>407134</v>
      </c>
      <c r="O735" s="17">
        <v>46285.432788731101</v>
      </c>
      <c r="P735" s="17">
        <v>20418.329581585382</v>
      </c>
      <c r="Q735" s="17">
        <v>340430.23762968351</v>
      </c>
      <c r="R735" s="17">
        <v>241477.6</v>
      </c>
      <c r="S735" s="17">
        <v>98952.637629683508</v>
      </c>
      <c r="T735" s="17">
        <v>5643.93</v>
      </c>
    </row>
    <row r="736" spans="1:20" x14ac:dyDescent="0.3">
      <c r="A736" s="13">
        <v>45626</v>
      </c>
      <c r="B736" s="7" t="s">
        <v>124</v>
      </c>
      <c r="C736" s="7" t="s">
        <v>27</v>
      </c>
      <c r="D736" s="7" t="s">
        <v>103</v>
      </c>
      <c r="E736" s="7" t="s">
        <v>30</v>
      </c>
      <c r="F736" s="14">
        <v>820</v>
      </c>
      <c r="G736" s="15">
        <v>198.74</v>
      </c>
      <c r="H736" s="16">
        <v>8.1355897906147279E-2</v>
      </c>
      <c r="I736" s="16">
        <v>2.018770920743411E-2</v>
      </c>
      <c r="J736" s="15">
        <v>134.13999999999999</v>
      </c>
      <c r="K736" s="14">
        <v>70</v>
      </c>
      <c r="L736" s="14">
        <v>4</v>
      </c>
      <c r="M736" s="15">
        <v>4.9400000000000004</v>
      </c>
      <c r="N736" s="17">
        <v>162966.79999999999</v>
      </c>
      <c r="O736" s="17">
        <v>13258.31034289152</v>
      </c>
      <c r="P736" s="17">
        <v>3022.2714550818632</v>
      </c>
      <c r="Q736" s="17">
        <v>146686.21820202659</v>
      </c>
      <c r="R736" s="17">
        <v>109994.8</v>
      </c>
      <c r="S736" s="17">
        <v>36691.41820202666</v>
      </c>
      <c r="T736" s="17">
        <v>19.760000000000002</v>
      </c>
    </row>
    <row r="737" spans="1:20" x14ac:dyDescent="0.3">
      <c r="A737" s="13">
        <v>45626</v>
      </c>
      <c r="B737" s="7" t="s">
        <v>124</v>
      </c>
      <c r="C737" s="7" t="s">
        <v>27</v>
      </c>
      <c r="D737" s="7" t="s">
        <v>104</v>
      </c>
      <c r="E737" s="7" t="s">
        <v>25</v>
      </c>
      <c r="F737" s="14">
        <v>1506</v>
      </c>
      <c r="G737" s="15">
        <v>50.45</v>
      </c>
      <c r="H737" s="16">
        <v>8.4762472919749393E-2</v>
      </c>
      <c r="I737" s="16">
        <v>3.8238664964490222E-2</v>
      </c>
      <c r="J737" s="15">
        <v>21.74</v>
      </c>
      <c r="K737" s="14">
        <v>1032</v>
      </c>
      <c r="L737" s="14">
        <v>417</v>
      </c>
      <c r="M737" s="15">
        <v>41.63</v>
      </c>
      <c r="N737" s="17">
        <v>75977.7</v>
      </c>
      <c r="O737" s="17">
        <v>6440.0577387548428</v>
      </c>
      <c r="P737" s="17">
        <v>2659.026604848329</v>
      </c>
      <c r="Q737" s="17">
        <v>66878.615656396825</v>
      </c>
      <c r="R737" s="17">
        <v>32740.44</v>
      </c>
      <c r="S737" s="17">
        <v>34138.175656396823</v>
      </c>
      <c r="T737" s="17">
        <v>17359.71</v>
      </c>
    </row>
    <row r="738" spans="1:20" x14ac:dyDescent="0.3">
      <c r="A738" s="13">
        <v>45626</v>
      </c>
      <c r="B738" s="7" t="s">
        <v>124</v>
      </c>
      <c r="C738" s="7" t="s">
        <v>27</v>
      </c>
      <c r="D738" s="7" t="s">
        <v>104</v>
      </c>
      <c r="E738" s="7" t="s">
        <v>28</v>
      </c>
      <c r="F738" s="14">
        <v>916</v>
      </c>
      <c r="G738" s="15">
        <v>50.03</v>
      </c>
      <c r="H738" s="16">
        <v>0.12730901020370541</v>
      </c>
      <c r="I738" s="16">
        <v>5.6476135927185381E-2</v>
      </c>
      <c r="J738" s="15">
        <v>23.17</v>
      </c>
      <c r="K738" s="14">
        <v>779</v>
      </c>
      <c r="L738" s="14">
        <v>232</v>
      </c>
      <c r="M738" s="15">
        <v>20.59</v>
      </c>
      <c r="N738" s="17">
        <v>45827.48</v>
      </c>
      <c r="O738" s="17">
        <v>5834.2511189301076</v>
      </c>
      <c r="P738" s="17">
        <v>2258.6630304543401</v>
      </c>
      <c r="Q738" s="17">
        <v>37734.56585061556</v>
      </c>
      <c r="R738" s="17">
        <v>21223.72</v>
      </c>
      <c r="S738" s="17">
        <v>16510.845850615558</v>
      </c>
      <c r="T738" s="17">
        <v>4776.88</v>
      </c>
    </row>
    <row r="739" spans="1:20" x14ac:dyDescent="0.3">
      <c r="A739" s="13">
        <v>45626</v>
      </c>
      <c r="B739" s="7" t="s">
        <v>124</v>
      </c>
      <c r="C739" s="7" t="s">
        <v>27</v>
      </c>
      <c r="D739" s="7" t="s">
        <v>104</v>
      </c>
      <c r="E739" s="7" t="s">
        <v>30</v>
      </c>
      <c r="F739" s="14">
        <v>615</v>
      </c>
      <c r="G739" s="15">
        <v>43.64</v>
      </c>
      <c r="H739" s="16">
        <v>7.1693645197958303E-2</v>
      </c>
      <c r="I739" s="16">
        <v>2.3220618839250539E-2</v>
      </c>
      <c r="J739" s="15">
        <v>23.87</v>
      </c>
      <c r="K739" s="14">
        <v>53</v>
      </c>
      <c r="L739" s="14">
        <v>3</v>
      </c>
      <c r="M739" s="15">
        <v>3.42</v>
      </c>
      <c r="N739" s="17">
        <v>26838.6</v>
      </c>
      <c r="O739" s="17">
        <v>1924.1570660099239</v>
      </c>
      <c r="P739" s="17">
        <v>578.52878296244251</v>
      </c>
      <c r="Q739" s="17">
        <v>24335.914151027631</v>
      </c>
      <c r="R739" s="17">
        <v>14680.05</v>
      </c>
      <c r="S739" s="17">
        <v>9655.8641510276302</v>
      </c>
      <c r="T739" s="17">
        <v>10.26</v>
      </c>
    </row>
    <row r="740" spans="1:20" x14ac:dyDescent="0.3">
      <c r="A740" s="13">
        <v>45626</v>
      </c>
      <c r="B740" s="7" t="s">
        <v>124</v>
      </c>
      <c r="C740" s="7" t="s">
        <v>29</v>
      </c>
      <c r="D740" s="7" t="s">
        <v>102</v>
      </c>
      <c r="E740" s="7" t="s">
        <v>25</v>
      </c>
      <c r="F740" s="14">
        <v>4388</v>
      </c>
      <c r="G740" s="15">
        <v>124.61</v>
      </c>
      <c r="H740" s="16">
        <v>9.5444206601001821E-2</v>
      </c>
      <c r="I740" s="16">
        <v>3.0332981092973409E-2</v>
      </c>
      <c r="J740" s="15">
        <v>69.69</v>
      </c>
      <c r="K740" s="14">
        <v>3108</v>
      </c>
      <c r="L740" s="14">
        <v>1193</v>
      </c>
      <c r="M740" s="15">
        <v>32.590000000000003</v>
      </c>
      <c r="N740" s="17">
        <v>546788.68000000005</v>
      </c>
      <c r="O740" s="17">
        <v>52187.811741009078</v>
      </c>
      <c r="P740" s="17">
        <v>15002.7187854682</v>
      </c>
      <c r="Q740" s="17">
        <v>479598.14947352279</v>
      </c>
      <c r="R740" s="17">
        <v>305799.71999999997</v>
      </c>
      <c r="S740" s="17">
        <v>173798.42947352279</v>
      </c>
      <c r="T740" s="17">
        <v>38879.870000000003</v>
      </c>
    </row>
    <row r="741" spans="1:20" x14ac:dyDescent="0.3">
      <c r="A741" s="13">
        <v>45626</v>
      </c>
      <c r="B741" s="7" t="s">
        <v>124</v>
      </c>
      <c r="C741" s="7" t="s">
        <v>29</v>
      </c>
      <c r="D741" s="7" t="s">
        <v>102</v>
      </c>
      <c r="E741" s="7" t="s">
        <v>28</v>
      </c>
      <c r="F741" s="14">
        <v>1535</v>
      </c>
      <c r="G741" s="15">
        <v>117.27</v>
      </c>
      <c r="H741" s="16">
        <v>9.1549129065434956E-2</v>
      </c>
      <c r="I741" s="16">
        <v>7.866847740532884E-2</v>
      </c>
      <c r="J741" s="15">
        <v>76.180000000000007</v>
      </c>
      <c r="K741" s="14">
        <v>1365</v>
      </c>
      <c r="L741" s="14">
        <v>420</v>
      </c>
      <c r="M741" s="15">
        <v>13.72</v>
      </c>
      <c r="N741" s="17">
        <v>180009.45</v>
      </c>
      <c r="O741" s="17">
        <v>16479.70837104796</v>
      </c>
      <c r="P741" s="17">
        <v>12864.635784436479</v>
      </c>
      <c r="Q741" s="17">
        <v>150665.10584451561</v>
      </c>
      <c r="R741" s="17">
        <v>116936.3</v>
      </c>
      <c r="S741" s="17">
        <v>33728.805844515533</v>
      </c>
      <c r="T741" s="17">
        <v>5762.4000000000005</v>
      </c>
    </row>
    <row r="742" spans="1:20" x14ac:dyDescent="0.3">
      <c r="A742" s="13">
        <v>45626</v>
      </c>
      <c r="B742" s="7" t="s">
        <v>124</v>
      </c>
      <c r="C742" s="7" t="s">
        <v>29</v>
      </c>
      <c r="D742" s="7" t="s">
        <v>102</v>
      </c>
      <c r="E742" s="7" t="s">
        <v>30</v>
      </c>
      <c r="F742" s="14">
        <v>2140</v>
      </c>
      <c r="G742" s="15">
        <v>100.47</v>
      </c>
      <c r="H742" s="16">
        <v>7.8752833650792164E-2</v>
      </c>
      <c r="I742" s="16">
        <v>1.6994367236655761E-2</v>
      </c>
      <c r="J742" s="15">
        <v>73.89</v>
      </c>
      <c r="K742" s="14">
        <v>178</v>
      </c>
      <c r="L742" s="14">
        <v>10</v>
      </c>
      <c r="M742" s="15">
        <v>3.5</v>
      </c>
      <c r="N742" s="17">
        <v>215005.8</v>
      </c>
      <c r="O742" s="17">
        <v>16932.316001355492</v>
      </c>
      <c r="P742" s="17">
        <v>3366.1335269168239</v>
      </c>
      <c r="Q742" s="17">
        <v>194707.3504717277</v>
      </c>
      <c r="R742" s="17">
        <v>158124.6</v>
      </c>
      <c r="S742" s="17">
        <v>36582.75047172769</v>
      </c>
      <c r="T742" s="17">
        <v>35</v>
      </c>
    </row>
    <row r="743" spans="1:20" x14ac:dyDescent="0.3">
      <c r="A743" s="13">
        <v>45626</v>
      </c>
      <c r="B743" s="7" t="s">
        <v>124</v>
      </c>
      <c r="C743" s="7" t="s">
        <v>29</v>
      </c>
      <c r="D743" s="7" t="s">
        <v>103</v>
      </c>
      <c r="E743" s="7" t="s">
        <v>25</v>
      </c>
      <c r="F743" s="14">
        <v>1779</v>
      </c>
      <c r="G743" s="15">
        <v>217.93</v>
      </c>
      <c r="H743" s="16">
        <v>0.1009295248856205</v>
      </c>
      <c r="I743" s="16">
        <v>4.530894314215949E-2</v>
      </c>
      <c r="J743" s="15">
        <v>125.55</v>
      </c>
      <c r="K743" s="14">
        <v>1234</v>
      </c>
      <c r="L743" s="14">
        <v>470</v>
      </c>
      <c r="M743" s="15">
        <v>31.29</v>
      </c>
      <c r="N743" s="17">
        <v>387697.47</v>
      </c>
      <c r="O743" s="17">
        <v>39130.121446457088</v>
      </c>
      <c r="P743" s="17">
        <v>15793.218176825771</v>
      </c>
      <c r="Q743" s="17">
        <v>332774.13037671708</v>
      </c>
      <c r="R743" s="17">
        <v>223353.45</v>
      </c>
      <c r="S743" s="17">
        <v>109420.6803767172</v>
      </c>
      <c r="T743" s="17">
        <v>14706.3</v>
      </c>
    </row>
    <row r="744" spans="1:20" x14ac:dyDescent="0.3">
      <c r="A744" s="13">
        <v>45626</v>
      </c>
      <c r="B744" s="7" t="s">
        <v>124</v>
      </c>
      <c r="C744" s="7" t="s">
        <v>29</v>
      </c>
      <c r="D744" s="7" t="s">
        <v>103</v>
      </c>
      <c r="E744" s="7" t="s">
        <v>28</v>
      </c>
      <c r="F744" s="14">
        <v>1180</v>
      </c>
      <c r="G744" s="15">
        <v>204.35</v>
      </c>
      <c r="H744" s="16">
        <v>0.1578953537302496</v>
      </c>
      <c r="I744" s="16">
        <v>6.0523319206341131E-2</v>
      </c>
      <c r="J744" s="15">
        <v>117.34</v>
      </c>
      <c r="K744" s="14">
        <v>966</v>
      </c>
      <c r="L744" s="14">
        <v>326</v>
      </c>
      <c r="M744" s="15">
        <v>22.43</v>
      </c>
      <c r="N744" s="17">
        <v>241133</v>
      </c>
      <c r="O744" s="17">
        <v>38073.78033103628</v>
      </c>
      <c r="P744" s="17">
        <v>12289.817969815231</v>
      </c>
      <c r="Q744" s="17">
        <v>190769.4016991485</v>
      </c>
      <c r="R744" s="17">
        <v>138461.20000000001</v>
      </c>
      <c r="S744" s="17">
        <v>52308.201699148492</v>
      </c>
      <c r="T744" s="17">
        <v>7312.18</v>
      </c>
    </row>
    <row r="745" spans="1:20" x14ac:dyDescent="0.3">
      <c r="A745" s="13">
        <v>45626</v>
      </c>
      <c r="B745" s="7" t="s">
        <v>124</v>
      </c>
      <c r="C745" s="7" t="s">
        <v>29</v>
      </c>
      <c r="D745" s="7" t="s">
        <v>103</v>
      </c>
      <c r="E745" s="7" t="s">
        <v>30</v>
      </c>
      <c r="F745" s="14">
        <v>866</v>
      </c>
      <c r="G745" s="15">
        <v>183.5</v>
      </c>
      <c r="H745" s="16">
        <v>6.3781471129465458E-2</v>
      </c>
      <c r="I745" s="16">
        <v>2.4878566888346249E-2</v>
      </c>
      <c r="J745" s="15">
        <v>122.4</v>
      </c>
      <c r="K745" s="14">
        <v>75</v>
      </c>
      <c r="L745" s="14">
        <v>5</v>
      </c>
      <c r="M745" s="15">
        <v>5.62</v>
      </c>
      <c r="N745" s="17">
        <v>158911</v>
      </c>
      <c r="O745" s="17">
        <v>10135.577358654489</v>
      </c>
      <c r="P745" s="17">
        <v>3701.3193035246982</v>
      </c>
      <c r="Q745" s="17">
        <v>145074.10333782079</v>
      </c>
      <c r="R745" s="17">
        <v>105998.39999999999</v>
      </c>
      <c r="S745" s="17">
        <v>39075.703337820793</v>
      </c>
      <c r="T745" s="17">
        <v>28.1</v>
      </c>
    </row>
    <row r="746" spans="1:20" x14ac:dyDescent="0.3">
      <c r="A746" s="13">
        <v>45626</v>
      </c>
      <c r="B746" s="7" t="s">
        <v>124</v>
      </c>
      <c r="C746" s="7" t="s">
        <v>29</v>
      </c>
      <c r="D746" s="7" t="s">
        <v>104</v>
      </c>
      <c r="E746" s="7" t="s">
        <v>25</v>
      </c>
      <c r="F746" s="14">
        <v>1264</v>
      </c>
      <c r="G746" s="15">
        <v>47.27</v>
      </c>
      <c r="H746" s="16">
        <v>9.8411679196502788E-2</v>
      </c>
      <c r="I746" s="16">
        <v>4.2398577458492973E-2</v>
      </c>
      <c r="J746" s="15">
        <v>22.77</v>
      </c>
      <c r="K746" s="14">
        <v>887</v>
      </c>
      <c r="L746" s="14">
        <v>324</v>
      </c>
      <c r="M746" s="15">
        <v>26.25</v>
      </c>
      <c r="N746" s="17">
        <v>59749.280000000013</v>
      </c>
      <c r="O746" s="17">
        <v>5880.0269755820209</v>
      </c>
      <c r="P746" s="17">
        <v>2283.9796969869431</v>
      </c>
      <c r="Q746" s="17">
        <v>51585.273327431038</v>
      </c>
      <c r="R746" s="17">
        <v>28781.279999999999</v>
      </c>
      <c r="S746" s="17">
        <v>22803.99332743105</v>
      </c>
      <c r="T746" s="17">
        <v>8505</v>
      </c>
    </row>
    <row r="747" spans="1:20" x14ac:dyDescent="0.3">
      <c r="A747" s="13">
        <v>45626</v>
      </c>
      <c r="B747" s="7" t="s">
        <v>124</v>
      </c>
      <c r="C747" s="7" t="s">
        <v>29</v>
      </c>
      <c r="D747" s="7" t="s">
        <v>104</v>
      </c>
      <c r="E747" s="7" t="s">
        <v>28</v>
      </c>
      <c r="F747" s="14">
        <v>1134</v>
      </c>
      <c r="G747" s="15">
        <v>44.36</v>
      </c>
      <c r="H747" s="16">
        <v>0.1097553324238944</v>
      </c>
      <c r="I747" s="16">
        <v>4.804329650662529E-2</v>
      </c>
      <c r="J747" s="15">
        <v>22.47</v>
      </c>
      <c r="K747" s="14">
        <v>1020</v>
      </c>
      <c r="L747" s="14">
        <v>313</v>
      </c>
      <c r="M747" s="15">
        <v>19.41</v>
      </c>
      <c r="N747" s="17">
        <v>50304.24</v>
      </c>
      <c r="O747" s="17">
        <v>5521.1585835313635</v>
      </c>
      <c r="P747" s="17">
        <v>2151.526858971743</v>
      </c>
      <c r="Q747" s="17">
        <v>42631.554557496893</v>
      </c>
      <c r="R747" s="17">
        <v>25480.98</v>
      </c>
      <c r="S747" s="17">
        <v>17150.57455749689</v>
      </c>
      <c r="T747" s="17">
        <v>6075.33</v>
      </c>
    </row>
    <row r="748" spans="1:20" x14ac:dyDescent="0.3">
      <c r="A748" s="13">
        <v>45626</v>
      </c>
      <c r="B748" s="7" t="s">
        <v>124</v>
      </c>
      <c r="C748" s="7" t="s">
        <v>29</v>
      </c>
      <c r="D748" s="7" t="s">
        <v>104</v>
      </c>
      <c r="E748" s="7" t="s">
        <v>30</v>
      </c>
      <c r="F748" s="14">
        <v>631</v>
      </c>
      <c r="G748" s="15">
        <v>36.29</v>
      </c>
      <c r="H748" s="16">
        <v>7.5447326683243082E-2</v>
      </c>
      <c r="I748" s="16">
        <v>2.431764121260761E-2</v>
      </c>
      <c r="J748" s="15">
        <v>22.55</v>
      </c>
      <c r="K748" s="14">
        <v>54</v>
      </c>
      <c r="L748" s="14">
        <v>3</v>
      </c>
      <c r="M748" s="15">
        <v>6.04</v>
      </c>
      <c r="N748" s="17">
        <v>22898.99</v>
      </c>
      <c r="O748" s="17">
        <v>1727.6675792463161</v>
      </c>
      <c r="P748" s="17">
        <v>514.83662262432324</v>
      </c>
      <c r="Q748" s="17">
        <v>20656.485798129361</v>
      </c>
      <c r="R748" s="17">
        <v>14229.05</v>
      </c>
      <c r="S748" s="17">
        <v>6427.435798129356</v>
      </c>
      <c r="T748" s="17">
        <v>18.12</v>
      </c>
    </row>
    <row r="749" spans="1:20" x14ac:dyDescent="0.3">
      <c r="A749" s="13">
        <v>45626</v>
      </c>
      <c r="B749" s="7" t="s">
        <v>124</v>
      </c>
      <c r="C749" s="7" t="s">
        <v>31</v>
      </c>
      <c r="D749" s="7" t="s">
        <v>102</v>
      </c>
      <c r="E749" s="7" t="s">
        <v>25</v>
      </c>
      <c r="F749" s="14">
        <v>1870</v>
      </c>
      <c r="G749" s="15">
        <v>109</v>
      </c>
      <c r="H749" s="16">
        <v>8.1482433744539839E-2</v>
      </c>
      <c r="I749" s="16">
        <v>3.0579398164257549E-2</v>
      </c>
      <c r="J749" s="15">
        <v>68.069999999999993</v>
      </c>
      <c r="K749" s="14">
        <v>1314</v>
      </c>
      <c r="L749" s="14">
        <v>464</v>
      </c>
      <c r="M749" s="15">
        <v>30.77</v>
      </c>
      <c r="N749" s="17">
        <v>203830</v>
      </c>
      <c r="O749" s="17">
        <v>16608.564470149551</v>
      </c>
      <c r="P749" s="17">
        <v>5725.1188219511723</v>
      </c>
      <c r="Q749" s="17">
        <v>181496.3167078993</v>
      </c>
      <c r="R749" s="17">
        <v>127290.9</v>
      </c>
      <c r="S749" s="17">
        <v>54205.416707899283</v>
      </c>
      <c r="T749" s="17">
        <v>14277.28</v>
      </c>
    </row>
    <row r="750" spans="1:20" x14ac:dyDescent="0.3">
      <c r="A750" s="13">
        <v>45626</v>
      </c>
      <c r="B750" s="7" t="s">
        <v>124</v>
      </c>
      <c r="C750" s="7" t="s">
        <v>31</v>
      </c>
      <c r="D750" s="7" t="s">
        <v>102</v>
      </c>
      <c r="E750" s="7" t="s">
        <v>28</v>
      </c>
      <c r="F750" s="14">
        <v>1231</v>
      </c>
      <c r="G750" s="15">
        <v>108.4</v>
      </c>
      <c r="H750" s="16">
        <v>0.10493237759492929</v>
      </c>
      <c r="I750" s="16">
        <v>5.9119193593430569E-2</v>
      </c>
      <c r="J750" s="15">
        <v>70.14</v>
      </c>
      <c r="K750" s="14">
        <v>1013</v>
      </c>
      <c r="L750" s="14">
        <v>275</v>
      </c>
      <c r="M750" s="15">
        <v>18.649999999999999</v>
      </c>
      <c r="N750" s="17">
        <v>133440.4</v>
      </c>
      <c r="O750" s="17">
        <v>14002.218439218401</v>
      </c>
      <c r="P750" s="17">
        <v>7061.0889781391561</v>
      </c>
      <c r="Q750" s="17">
        <v>112377.09258264241</v>
      </c>
      <c r="R750" s="17">
        <v>86342.34</v>
      </c>
      <c r="S750" s="17">
        <v>26034.752582642439</v>
      </c>
      <c r="T750" s="17">
        <v>5128.75</v>
      </c>
    </row>
    <row r="751" spans="1:20" x14ac:dyDescent="0.3">
      <c r="A751" s="13">
        <v>45626</v>
      </c>
      <c r="B751" s="7" t="s">
        <v>124</v>
      </c>
      <c r="C751" s="7" t="s">
        <v>31</v>
      </c>
      <c r="D751" s="7" t="s">
        <v>102</v>
      </c>
      <c r="E751" s="7" t="s">
        <v>30</v>
      </c>
      <c r="F751" s="14">
        <v>1031</v>
      </c>
      <c r="G751" s="15">
        <v>96.95</v>
      </c>
      <c r="H751" s="16">
        <v>7.2040501365051454E-2</v>
      </c>
      <c r="I751" s="16">
        <v>1.9263298866892469E-2</v>
      </c>
      <c r="J751" s="15">
        <v>71.209999999999994</v>
      </c>
      <c r="K751" s="14">
        <v>88</v>
      </c>
      <c r="L751" s="14">
        <v>5</v>
      </c>
      <c r="M751" s="15">
        <v>5.22</v>
      </c>
      <c r="N751" s="17">
        <v>99955.45</v>
      </c>
      <c r="O751" s="17">
        <v>7200.8407321693321</v>
      </c>
      <c r="P751" s="17">
        <v>1786.7597596080559</v>
      </c>
      <c r="Q751" s="17">
        <v>90967.8495082226</v>
      </c>
      <c r="R751" s="17">
        <v>73417.509999999995</v>
      </c>
      <c r="S751" s="17">
        <v>17550.339508222609</v>
      </c>
      <c r="T751" s="17">
        <v>26.1</v>
      </c>
    </row>
    <row r="752" spans="1:20" x14ac:dyDescent="0.3">
      <c r="A752" s="13">
        <v>45626</v>
      </c>
      <c r="B752" s="7" t="s">
        <v>124</v>
      </c>
      <c r="C752" s="7" t="s">
        <v>31</v>
      </c>
      <c r="D752" s="7" t="s">
        <v>103</v>
      </c>
      <c r="E752" s="7" t="s">
        <v>25</v>
      </c>
      <c r="F752" s="14">
        <v>1137</v>
      </c>
      <c r="G752" s="15">
        <v>203.92</v>
      </c>
      <c r="H752" s="16">
        <v>9.1573809912168264E-2</v>
      </c>
      <c r="I752" s="16">
        <v>5.0715159355810377E-2</v>
      </c>
      <c r="J752" s="15">
        <v>113.29</v>
      </c>
      <c r="K752" s="14">
        <v>862</v>
      </c>
      <c r="L752" s="14">
        <v>322</v>
      </c>
      <c r="M752" s="15">
        <v>20.68</v>
      </c>
      <c r="N752" s="17">
        <v>231857.04</v>
      </c>
      <c r="O752" s="17">
        <v>21232.032507757991</v>
      </c>
      <c r="P752" s="17">
        <v>10681.88081928781</v>
      </c>
      <c r="Q752" s="17">
        <v>199943.12667295421</v>
      </c>
      <c r="R752" s="17">
        <v>128810.73</v>
      </c>
      <c r="S752" s="17">
        <v>71132.396672954143</v>
      </c>
      <c r="T752" s="17">
        <v>6658.96</v>
      </c>
    </row>
    <row r="753" spans="1:20" x14ac:dyDescent="0.3">
      <c r="A753" s="13">
        <v>45626</v>
      </c>
      <c r="B753" s="7" t="s">
        <v>124</v>
      </c>
      <c r="C753" s="7" t="s">
        <v>31</v>
      </c>
      <c r="D753" s="7" t="s">
        <v>103</v>
      </c>
      <c r="E753" s="7" t="s">
        <v>28</v>
      </c>
      <c r="F753" s="14">
        <v>433</v>
      </c>
      <c r="G753" s="15">
        <v>195.65</v>
      </c>
      <c r="H753" s="16">
        <v>0.10396652045605929</v>
      </c>
      <c r="I753" s="16">
        <v>3.8597601348279872E-2</v>
      </c>
      <c r="J753" s="15">
        <v>118.89</v>
      </c>
      <c r="K753" s="14">
        <v>337</v>
      </c>
      <c r="L753" s="14">
        <v>99</v>
      </c>
      <c r="M753" s="15">
        <v>20.79</v>
      </c>
      <c r="N753" s="17">
        <v>84716.45</v>
      </c>
      <c r="O753" s="17">
        <v>8807.674531889721</v>
      </c>
      <c r="P753" s="17">
        <v>2929.8966543542069</v>
      </c>
      <c r="Q753" s="17">
        <v>72978.878813756077</v>
      </c>
      <c r="R753" s="17">
        <v>51479.37</v>
      </c>
      <c r="S753" s="17">
        <v>21499.508813756071</v>
      </c>
      <c r="T753" s="17">
        <v>2058.21</v>
      </c>
    </row>
    <row r="754" spans="1:20" x14ac:dyDescent="0.3">
      <c r="A754" s="13">
        <v>45626</v>
      </c>
      <c r="B754" s="7" t="s">
        <v>124</v>
      </c>
      <c r="C754" s="7" t="s">
        <v>31</v>
      </c>
      <c r="D754" s="7" t="s">
        <v>103</v>
      </c>
      <c r="E754" s="7" t="s">
        <v>30</v>
      </c>
      <c r="F754" s="14">
        <v>284</v>
      </c>
      <c r="G754" s="15">
        <v>172.57</v>
      </c>
      <c r="H754" s="16">
        <v>8.2794042256152708E-2</v>
      </c>
      <c r="I754" s="16">
        <v>3.1010069623298081E-2</v>
      </c>
      <c r="J754" s="15">
        <v>117.38</v>
      </c>
      <c r="K754" s="14">
        <v>24</v>
      </c>
      <c r="L754" s="14">
        <v>2</v>
      </c>
      <c r="M754" s="15">
        <v>5.0999999999999996</v>
      </c>
      <c r="N754" s="17">
        <v>49009.88</v>
      </c>
      <c r="O754" s="17">
        <v>4057.7260756889732</v>
      </c>
      <c r="P754" s="17">
        <v>1393.9694229100969</v>
      </c>
      <c r="Q754" s="17">
        <v>43558.18450140093</v>
      </c>
      <c r="R754" s="17">
        <v>33335.919999999998</v>
      </c>
      <c r="S754" s="17">
        <v>10222.26450140093</v>
      </c>
      <c r="T754" s="17">
        <v>10.199999999999999</v>
      </c>
    </row>
    <row r="755" spans="1:20" x14ac:dyDescent="0.3">
      <c r="A755" s="13">
        <v>45626</v>
      </c>
      <c r="B755" s="7" t="s">
        <v>124</v>
      </c>
      <c r="C755" s="7" t="s">
        <v>31</v>
      </c>
      <c r="D755" s="7" t="s">
        <v>104</v>
      </c>
      <c r="E755" s="7" t="s">
        <v>25</v>
      </c>
      <c r="F755" s="14">
        <v>786</v>
      </c>
      <c r="G755" s="15">
        <v>40.630000000000003</v>
      </c>
      <c r="H755" s="16">
        <v>7.8375829425764723E-2</v>
      </c>
      <c r="I755" s="16">
        <v>5.3771809365045609E-2</v>
      </c>
      <c r="J755" s="15">
        <v>22.42</v>
      </c>
      <c r="K755" s="14">
        <v>542</v>
      </c>
      <c r="L755" s="14">
        <v>225</v>
      </c>
      <c r="M755" s="15">
        <v>29.91</v>
      </c>
      <c r="N755" s="17">
        <v>31935.18</v>
      </c>
      <c r="O755" s="17">
        <v>2502.9462203610929</v>
      </c>
      <c r="P755" s="17">
        <v>1582.6244639861991</v>
      </c>
      <c r="Q755" s="17">
        <v>27849.609315652709</v>
      </c>
      <c r="R755" s="17">
        <v>17622.12</v>
      </c>
      <c r="S755" s="17">
        <v>10227.489315652711</v>
      </c>
      <c r="T755" s="17">
        <v>6729.75</v>
      </c>
    </row>
    <row r="756" spans="1:20" x14ac:dyDescent="0.3">
      <c r="A756" s="13">
        <v>45626</v>
      </c>
      <c r="B756" s="7" t="s">
        <v>124</v>
      </c>
      <c r="C756" s="7" t="s">
        <v>31</v>
      </c>
      <c r="D756" s="7" t="s">
        <v>104</v>
      </c>
      <c r="E756" s="7" t="s">
        <v>28</v>
      </c>
      <c r="F756" s="14">
        <v>449</v>
      </c>
      <c r="G756" s="15">
        <v>39.6</v>
      </c>
      <c r="H756" s="16">
        <v>0.13846137804970651</v>
      </c>
      <c r="I756" s="16">
        <v>9.9630178657389296E-2</v>
      </c>
      <c r="J756" s="15">
        <v>22.14</v>
      </c>
      <c r="K756" s="14">
        <v>379</v>
      </c>
      <c r="L756" s="14">
        <v>124</v>
      </c>
      <c r="M756" s="15">
        <v>18.16</v>
      </c>
      <c r="N756" s="17">
        <v>17780.400000000001</v>
      </c>
      <c r="O756" s="17">
        <v>2461.8986862750012</v>
      </c>
      <c r="P756" s="17">
        <v>1526.185022649875</v>
      </c>
      <c r="Q756" s="17">
        <v>13792.316291075131</v>
      </c>
      <c r="R756" s="17">
        <v>9940.86</v>
      </c>
      <c r="S756" s="17">
        <v>3851.456291075127</v>
      </c>
      <c r="T756" s="17">
        <v>2251.84</v>
      </c>
    </row>
    <row r="757" spans="1:20" x14ac:dyDescent="0.3">
      <c r="A757" s="13">
        <v>45626</v>
      </c>
      <c r="B757" s="7" t="s">
        <v>124</v>
      </c>
      <c r="C757" s="7" t="s">
        <v>31</v>
      </c>
      <c r="D757" s="7" t="s">
        <v>104</v>
      </c>
      <c r="E757" s="7" t="s">
        <v>30</v>
      </c>
      <c r="F757" s="14">
        <v>351</v>
      </c>
      <c r="G757" s="15">
        <v>34.630000000000003</v>
      </c>
      <c r="H757" s="16">
        <v>6.7134200137632119E-2</v>
      </c>
      <c r="I757" s="16">
        <v>1.5821554974899819E-2</v>
      </c>
      <c r="J757" s="15">
        <v>22.47</v>
      </c>
      <c r="K757" s="14">
        <v>29</v>
      </c>
      <c r="L757" s="14">
        <v>2</v>
      </c>
      <c r="M757" s="15">
        <v>5.78</v>
      </c>
      <c r="N757" s="17">
        <v>12155.13</v>
      </c>
      <c r="O757" s="17">
        <v>816.02493011893637</v>
      </c>
      <c r="P757" s="17">
        <v>179.40227422928851</v>
      </c>
      <c r="Q757" s="17">
        <v>11159.70279565178</v>
      </c>
      <c r="R757" s="17">
        <v>7886.9699999999993</v>
      </c>
      <c r="S757" s="17">
        <v>3272.732795651777</v>
      </c>
      <c r="T757" s="17">
        <v>11.56</v>
      </c>
    </row>
    <row r="758" spans="1:20" x14ac:dyDescent="0.3">
      <c r="A758" s="13">
        <v>45657</v>
      </c>
      <c r="B758" s="7" t="s">
        <v>125</v>
      </c>
      <c r="C758" s="7" t="s">
        <v>24</v>
      </c>
      <c r="D758" s="7" t="s">
        <v>102</v>
      </c>
      <c r="E758" s="7" t="s">
        <v>25</v>
      </c>
      <c r="F758" s="14">
        <v>11204</v>
      </c>
      <c r="G758" s="15">
        <v>129.24</v>
      </c>
      <c r="H758" s="16">
        <v>0.1130489524290495</v>
      </c>
      <c r="I758" s="16">
        <v>3.2291811972713108E-2</v>
      </c>
      <c r="J758" s="15">
        <v>70.2</v>
      </c>
      <c r="K758" s="14">
        <v>7261</v>
      </c>
      <c r="L758" s="14">
        <v>2790</v>
      </c>
      <c r="M758" s="15">
        <v>26.84</v>
      </c>
      <c r="N758" s="17">
        <v>1448004.96</v>
      </c>
      <c r="O758" s="17">
        <v>163695.44384006769</v>
      </c>
      <c r="P758" s="17">
        <v>41472.68141060268</v>
      </c>
      <c r="Q758" s="17">
        <v>1242836.8347493301</v>
      </c>
      <c r="R758" s="17">
        <v>786520.8</v>
      </c>
      <c r="S758" s="17">
        <v>456316.03474932961</v>
      </c>
      <c r="T758" s="17">
        <v>74883.600000000006</v>
      </c>
    </row>
    <row r="759" spans="1:20" x14ac:dyDescent="0.3">
      <c r="A759" s="13">
        <v>45657</v>
      </c>
      <c r="B759" s="7" t="s">
        <v>125</v>
      </c>
      <c r="C759" s="7" t="s">
        <v>24</v>
      </c>
      <c r="D759" s="7" t="s">
        <v>102</v>
      </c>
      <c r="E759" s="7" t="s">
        <v>28</v>
      </c>
      <c r="F759" s="14">
        <v>3609</v>
      </c>
      <c r="G759" s="15">
        <v>121.09</v>
      </c>
      <c r="H759" s="16">
        <v>0.14198330902233261</v>
      </c>
      <c r="I759" s="16">
        <v>6.2009375708703532E-2</v>
      </c>
      <c r="J759" s="15">
        <v>72.790000000000006</v>
      </c>
      <c r="K759" s="14">
        <v>3168</v>
      </c>
      <c r="L759" s="14">
        <v>1039</v>
      </c>
      <c r="M759" s="15">
        <v>16.920000000000002</v>
      </c>
      <c r="N759" s="17">
        <v>437013.81</v>
      </c>
      <c r="O759" s="17">
        <v>62048.66683225696</v>
      </c>
      <c r="P759" s="17">
        <v>23251.35444035639</v>
      </c>
      <c r="Q759" s="17">
        <v>351713.78872738668</v>
      </c>
      <c r="R759" s="17">
        <v>262699.11</v>
      </c>
      <c r="S759" s="17">
        <v>89014.678727386636</v>
      </c>
      <c r="T759" s="17">
        <v>17579.88</v>
      </c>
    </row>
    <row r="760" spans="1:20" x14ac:dyDescent="0.3">
      <c r="A760" s="13">
        <v>45657</v>
      </c>
      <c r="B760" s="7" t="s">
        <v>125</v>
      </c>
      <c r="C760" s="7" t="s">
        <v>24</v>
      </c>
      <c r="D760" s="7" t="s">
        <v>102</v>
      </c>
      <c r="E760" s="7" t="s">
        <v>30</v>
      </c>
      <c r="F760" s="14">
        <v>3473</v>
      </c>
      <c r="G760" s="15">
        <v>104.68</v>
      </c>
      <c r="H760" s="16">
        <v>7.7826287602817706E-2</v>
      </c>
      <c r="I760" s="16">
        <v>2.046761748219305E-2</v>
      </c>
      <c r="J760" s="15">
        <v>72.64</v>
      </c>
      <c r="K760" s="14">
        <v>271</v>
      </c>
      <c r="L760" s="14">
        <v>17</v>
      </c>
      <c r="M760" s="15">
        <v>4.22</v>
      </c>
      <c r="N760" s="17">
        <v>363553.64</v>
      </c>
      <c r="O760" s="17">
        <v>28294.030145691249</v>
      </c>
      <c r="P760" s="17">
        <v>6861.9654517272711</v>
      </c>
      <c r="Q760" s="17">
        <v>328397.6444025815</v>
      </c>
      <c r="R760" s="17">
        <v>252278.72</v>
      </c>
      <c r="S760" s="17">
        <v>76118.924402581499</v>
      </c>
      <c r="T760" s="17">
        <v>71.739999999999995</v>
      </c>
    </row>
    <row r="761" spans="1:20" x14ac:dyDescent="0.3">
      <c r="A761" s="13">
        <v>45657</v>
      </c>
      <c r="B761" s="7" t="s">
        <v>125</v>
      </c>
      <c r="C761" s="7" t="s">
        <v>24</v>
      </c>
      <c r="D761" s="7" t="s">
        <v>103</v>
      </c>
      <c r="E761" s="7" t="s">
        <v>25</v>
      </c>
      <c r="F761" s="14">
        <v>4651</v>
      </c>
      <c r="G761" s="15">
        <v>234.8</v>
      </c>
      <c r="H761" s="16">
        <v>9.314607984564803E-2</v>
      </c>
      <c r="I761" s="16">
        <v>3.2819352163817359E-2</v>
      </c>
      <c r="J761" s="15">
        <v>122.94</v>
      </c>
      <c r="K761" s="14">
        <v>3302</v>
      </c>
      <c r="L761" s="14">
        <v>1169</v>
      </c>
      <c r="M761" s="15">
        <v>33.33</v>
      </c>
      <c r="N761" s="17">
        <v>1092054.8</v>
      </c>
      <c r="O761" s="17">
        <v>101720.62359662321</v>
      </c>
      <c r="P761" s="17">
        <v>32502.126095246451</v>
      </c>
      <c r="Q761" s="17">
        <v>957832.05030813045</v>
      </c>
      <c r="R761" s="17">
        <v>571793.93999999994</v>
      </c>
      <c r="S761" s="17">
        <v>386038.1103081305</v>
      </c>
      <c r="T761" s="17">
        <v>38962.769999999997</v>
      </c>
    </row>
    <row r="762" spans="1:20" x14ac:dyDescent="0.3">
      <c r="A762" s="13">
        <v>45657</v>
      </c>
      <c r="B762" s="7" t="s">
        <v>125</v>
      </c>
      <c r="C762" s="7" t="s">
        <v>24</v>
      </c>
      <c r="D762" s="7" t="s">
        <v>103</v>
      </c>
      <c r="E762" s="7" t="s">
        <v>28</v>
      </c>
      <c r="F762" s="14">
        <v>1702</v>
      </c>
      <c r="G762" s="15">
        <v>226.08</v>
      </c>
      <c r="H762" s="16">
        <v>0.16208089941698939</v>
      </c>
      <c r="I762" s="16">
        <v>4.7088647974472701E-2</v>
      </c>
      <c r="J762" s="15">
        <v>127.15</v>
      </c>
      <c r="K762" s="14">
        <v>1438</v>
      </c>
      <c r="L762" s="14">
        <v>408</v>
      </c>
      <c r="M762" s="15">
        <v>15.65</v>
      </c>
      <c r="N762" s="17">
        <v>384788.16</v>
      </c>
      <c r="O762" s="17">
        <v>62366.811057808423</v>
      </c>
      <c r="P762" s="17">
        <v>15182.385399793489</v>
      </c>
      <c r="Q762" s="17">
        <v>307238.96354239812</v>
      </c>
      <c r="R762" s="17">
        <v>216409.3</v>
      </c>
      <c r="S762" s="17">
        <v>90829.663542398106</v>
      </c>
      <c r="T762" s="17">
        <v>6385.2</v>
      </c>
    </row>
    <row r="763" spans="1:20" x14ac:dyDescent="0.3">
      <c r="A763" s="13">
        <v>45657</v>
      </c>
      <c r="B763" s="7" t="s">
        <v>125</v>
      </c>
      <c r="C763" s="7" t="s">
        <v>24</v>
      </c>
      <c r="D763" s="7" t="s">
        <v>103</v>
      </c>
      <c r="E763" s="7" t="s">
        <v>30</v>
      </c>
      <c r="F763" s="14">
        <v>2013</v>
      </c>
      <c r="G763" s="15">
        <v>187.92</v>
      </c>
      <c r="H763" s="16">
        <v>6.7826661814467129E-2</v>
      </c>
      <c r="I763" s="16">
        <v>1.484487362426346E-2</v>
      </c>
      <c r="J763" s="15">
        <v>128.22999999999999</v>
      </c>
      <c r="K763" s="14">
        <v>159</v>
      </c>
      <c r="L763" s="14">
        <v>10</v>
      </c>
      <c r="M763" s="15">
        <v>4.25</v>
      </c>
      <c r="N763" s="17">
        <v>378282.96</v>
      </c>
      <c r="O763" s="17">
        <v>25657.67039809559</v>
      </c>
      <c r="P763" s="17">
        <v>5234.677860859575</v>
      </c>
      <c r="Q763" s="17">
        <v>347390.61174104479</v>
      </c>
      <c r="R763" s="17">
        <v>258126.99</v>
      </c>
      <c r="S763" s="17">
        <v>89263.621741044801</v>
      </c>
      <c r="T763" s="17">
        <v>42.5</v>
      </c>
    </row>
    <row r="764" spans="1:20" x14ac:dyDescent="0.3">
      <c r="A764" s="13">
        <v>45657</v>
      </c>
      <c r="B764" s="7" t="s">
        <v>125</v>
      </c>
      <c r="C764" s="7" t="s">
        <v>24</v>
      </c>
      <c r="D764" s="7" t="s">
        <v>104</v>
      </c>
      <c r="E764" s="7" t="s">
        <v>25</v>
      </c>
      <c r="F764" s="14">
        <v>4056</v>
      </c>
      <c r="G764" s="15">
        <v>48.1</v>
      </c>
      <c r="H764" s="16">
        <v>7.9715366932605544E-2</v>
      </c>
      <c r="I764" s="16">
        <v>4.2103671135408867E-2</v>
      </c>
      <c r="J764" s="15">
        <v>24</v>
      </c>
      <c r="K764" s="14">
        <v>2759</v>
      </c>
      <c r="L764" s="14">
        <v>1041</v>
      </c>
      <c r="M764" s="15">
        <v>27.52</v>
      </c>
      <c r="N764" s="17">
        <v>195093.6</v>
      </c>
      <c r="O764" s="17">
        <v>15551.957910202969</v>
      </c>
      <c r="P764" s="17">
        <v>7559.3622536600969</v>
      </c>
      <c r="Q764" s="17">
        <v>171982.27983613691</v>
      </c>
      <c r="R764" s="17">
        <v>97344</v>
      </c>
      <c r="S764" s="17">
        <v>74638.279836136935</v>
      </c>
      <c r="T764" s="17">
        <v>28648.32</v>
      </c>
    </row>
    <row r="765" spans="1:20" x14ac:dyDescent="0.3">
      <c r="A765" s="13">
        <v>45657</v>
      </c>
      <c r="B765" s="7" t="s">
        <v>125</v>
      </c>
      <c r="C765" s="7" t="s">
        <v>24</v>
      </c>
      <c r="D765" s="7" t="s">
        <v>104</v>
      </c>
      <c r="E765" s="7" t="s">
        <v>28</v>
      </c>
      <c r="F765" s="14">
        <v>2061</v>
      </c>
      <c r="G765" s="15">
        <v>43.41</v>
      </c>
      <c r="H765" s="16">
        <v>0.1254352962030918</v>
      </c>
      <c r="I765" s="16">
        <v>5.1788887158496902E-2</v>
      </c>
      <c r="J765" s="15">
        <v>24.23</v>
      </c>
      <c r="K765" s="14">
        <v>1820</v>
      </c>
      <c r="L765" s="14">
        <v>519</v>
      </c>
      <c r="M765" s="15">
        <v>18.11</v>
      </c>
      <c r="N765" s="17">
        <v>89468.01</v>
      </c>
      <c r="O765" s="17">
        <v>11222.44633505118</v>
      </c>
      <c r="P765" s="17">
        <v>4052.2506672970189</v>
      </c>
      <c r="Q765" s="17">
        <v>74193.312997651796</v>
      </c>
      <c r="R765" s="17">
        <v>49938.03</v>
      </c>
      <c r="S765" s="17">
        <v>24255.282997651801</v>
      </c>
      <c r="T765" s="17">
        <v>9399.09</v>
      </c>
    </row>
    <row r="766" spans="1:20" x14ac:dyDescent="0.3">
      <c r="A766" s="13">
        <v>45657</v>
      </c>
      <c r="B766" s="7" t="s">
        <v>125</v>
      </c>
      <c r="C766" s="7" t="s">
        <v>24</v>
      </c>
      <c r="D766" s="7" t="s">
        <v>104</v>
      </c>
      <c r="E766" s="7" t="s">
        <v>30</v>
      </c>
      <c r="F766" s="14">
        <v>1156</v>
      </c>
      <c r="G766" s="15">
        <v>38.729999999999997</v>
      </c>
      <c r="H766" s="16">
        <v>7.0460202394334495E-2</v>
      </c>
      <c r="I766" s="16">
        <v>2.4779013725562401E-2</v>
      </c>
      <c r="J766" s="15">
        <v>22.61</v>
      </c>
      <c r="K766" s="14">
        <v>92</v>
      </c>
      <c r="L766" s="14">
        <v>6</v>
      </c>
      <c r="M766" s="15">
        <v>4.96</v>
      </c>
      <c r="N766" s="17">
        <v>44771.88</v>
      </c>
      <c r="O766" s="17">
        <v>3154.6357263748559</v>
      </c>
      <c r="P766" s="17">
        <v>1031.2342670762409</v>
      </c>
      <c r="Q766" s="17">
        <v>40586.010006548902</v>
      </c>
      <c r="R766" s="17">
        <v>26137.16</v>
      </c>
      <c r="S766" s="17">
        <v>14448.850006548901</v>
      </c>
      <c r="T766" s="17">
        <v>29.76</v>
      </c>
    </row>
    <row r="767" spans="1:20" x14ac:dyDescent="0.3">
      <c r="A767" s="13">
        <v>45657</v>
      </c>
      <c r="B767" s="7" t="s">
        <v>125</v>
      </c>
      <c r="C767" s="7" t="s">
        <v>27</v>
      </c>
      <c r="D767" s="7" t="s">
        <v>102</v>
      </c>
      <c r="E767" s="7" t="s">
        <v>25</v>
      </c>
      <c r="F767" s="14">
        <v>7049</v>
      </c>
      <c r="G767" s="15">
        <v>137.25</v>
      </c>
      <c r="H767" s="16">
        <v>9.0859262330202986E-2</v>
      </c>
      <c r="I767" s="16">
        <v>3.6282209884765118E-2</v>
      </c>
      <c r="J767" s="15">
        <v>72.55</v>
      </c>
      <c r="K767" s="14">
        <v>4994</v>
      </c>
      <c r="L767" s="14">
        <v>1965</v>
      </c>
      <c r="M767" s="15">
        <v>33.479999999999997</v>
      </c>
      <c r="N767" s="17">
        <v>967475.25</v>
      </c>
      <c r="O767" s="17">
        <v>87904.087537728716</v>
      </c>
      <c r="P767" s="17">
        <v>31912.78552504296</v>
      </c>
      <c r="Q767" s="17">
        <v>847658.37693722837</v>
      </c>
      <c r="R767" s="17">
        <v>511404.95</v>
      </c>
      <c r="S767" s="17">
        <v>336253.42693722842</v>
      </c>
      <c r="T767" s="17">
        <v>65788.2</v>
      </c>
    </row>
    <row r="768" spans="1:20" x14ac:dyDescent="0.3">
      <c r="A768" s="13">
        <v>45657</v>
      </c>
      <c r="B768" s="7" t="s">
        <v>125</v>
      </c>
      <c r="C768" s="7" t="s">
        <v>27</v>
      </c>
      <c r="D768" s="7" t="s">
        <v>102</v>
      </c>
      <c r="E768" s="7" t="s">
        <v>28</v>
      </c>
      <c r="F768" s="14">
        <v>4517</v>
      </c>
      <c r="G768" s="15">
        <v>126.91</v>
      </c>
      <c r="H768" s="16">
        <v>0.13304265201701621</v>
      </c>
      <c r="I768" s="16">
        <v>6.6727281812946598E-2</v>
      </c>
      <c r="J768" s="15">
        <v>75.56</v>
      </c>
      <c r="K768" s="14">
        <v>3631</v>
      </c>
      <c r="L768" s="14">
        <v>1039</v>
      </c>
      <c r="M768" s="15">
        <v>15.03</v>
      </c>
      <c r="N768" s="17">
        <v>573252.47</v>
      </c>
      <c r="O768" s="17">
        <v>76267.028884105021</v>
      </c>
      <c r="P768" s="17">
        <v>33162.487586271898</v>
      </c>
      <c r="Q768" s="17">
        <v>463822.95352962299</v>
      </c>
      <c r="R768" s="17">
        <v>341304.52</v>
      </c>
      <c r="S768" s="17">
        <v>122518.433529623</v>
      </c>
      <c r="T768" s="17">
        <v>15616.17</v>
      </c>
    </row>
    <row r="769" spans="1:20" x14ac:dyDescent="0.3">
      <c r="A769" s="13">
        <v>45657</v>
      </c>
      <c r="B769" s="7" t="s">
        <v>125</v>
      </c>
      <c r="C769" s="7" t="s">
        <v>27</v>
      </c>
      <c r="D769" s="7" t="s">
        <v>102</v>
      </c>
      <c r="E769" s="7" t="s">
        <v>30</v>
      </c>
      <c r="F769" s="14">
        <v>2614</v>
      </c>
      <c r="G769" s="15">
        <v>115.64</v>
      </c>
      <c r="H769" s="16">
        <v>5.6862409065346391E-2</v>
      </c>
      <c r="I769" s="16">
        <v>1.233740861585168E-2</v>
      </c>
      <c r="J769" s="15">
        <v>79.52</v>
      </c>
      <c r="K769" s="14">
        <v>204</v>
      </c>
      <c r="L769" s="14">
        <v>12</v>
      </c>
      <c r="M769" s="15">
        <v>4.45</v>
      </c>
      <c r="N769" s="17">
        <v>302282.96000000002</v>
      </c>
      <c r="O769" s="17">
        <v>17188.537325003741</v>
      </c>
      <c r="P769" s="17">
        <v>3517.3263866417601</v>
      </c>
      <c r="Q769" s="17">
        <v>281577.09628835449</v>
      </c>
      <c r="R769" s="17">
        <v>207865.28</v>
      </c>
      <c r="S769" s="17">
        <v>73711.816288354486</v>
      </c>
      <c r="T769" s="17">
        <v>53.400000000000013</v>
      </c>
    </row>
    <row r="770" spans="1:20" x14ac:dyDescent="0.3">
      <c r="A770" s="13">
        <v>45657</v>
      </c>
      <c r="B770" s="7" t="s">
        <v>125</v>
      </c>
      <c r="C770" s="7" t="s">
        <v>27</v>
      </c>
      <c r="D770" s="7" t="s">
        <v>103</v>
      </c>
      <c r="E770" s="7" t="s">
        <v>25</v>
      </c>
      <c r="F770" s="14">
        <v>3943</v>
      </c>
      <c r="G770" s="15">
        <v>255.8</v>
      </c>
      <c r="H770" s="16">
        <v>7.8066015433923053E-2</v>
      </c>
      <c r="I770" s="16">
        <v>4.1324971434956448E-2</v>
      </c>
      <c r="J770" s="15">
        <v>128.66</v>
      </c>
      <c r="K770" s="14">
        <v>2703</v>
      </c>
      <c r="L770" s="14">
        <v>1017</v>
      </c>
      <c r="M770" s="15">
        <v>24.39</v>
      </c>
      <c r="N770" s="17">
        <v>1008619.4</v>
      </c>
      <c r="O770" s="17">
        <v>78738.897647354213</v>
      </c>
      <c r="P770" s="17">
        <v>38427.285197646052</v>
      </c>
      <c r="Q770" s="17">
        <v>891453.21715499985</v>
      </c>
      <c r="R770" s="17">
        <v>507306.38</v>
      </c>
      <c r="S770" s="17">
        <v>384146.83715499978</v>
      </c>
      <c r="T770" s="17">
        <v>24804.63</v>
      </c>
    </row>
    <row r="771" spans="1:20" x14ac:dyDescent="0.3">
      <c r="A771" s="13">
        <v>45657</v>
      </c>
      <c r="B771" s="7" t="s">
        <v>125</v>
      </c>
      <c r="C771" s="7" t="s">
        <v>27</v>
      </c>
      <c r="D771" s="7" t="s">
        <v>103</v>
      </c>
      <c r="E771" s="7" t="s">
        <v>28</v>
      </c>
      <c r="F771" s="14">
        <v>1552</v>
      </c>
      <c r="G771" s="15">
        <v>230.65</v>
      </c>
      <c r="H771" s="16">
        <v>0.14864520661973049</v>
      </c>
      <c r="I771" s="16">
        <v>7.3150712795791745E-2</v>
      </c>
      <c r="J771" s="15">
        <v>133.91</v>
      </c>
      <c r="K771" s="14">
        <v>1280</v>
      </c>
      <c r="L771" s="14">
        <v>380</v>
      </c>
      <c r="M771" s="15">
        <v>17.010000000000002</v>
      </c>
      <c r="N771" s="17">
        <v>357968.8</v>
      </c>
      <c r="O771" s="17">
        <v>53210.346239416969</v>
      </c>
      <c r="P771" s="17">
        <v>22293.298123129989</v>
      </c>
      <c r="Q771" s="17">
        <v>282465.15563745302</v>
      </c>
      <c r="R771" s="17">
        <v>207828.32</v>
      </c>
      <c r="S771" s="17">
        <v>74636.835637453012</v>
      </c>
      <c r="T771" s="17">
        <v>6463.8</v>
      </c>
    </row>
    <row r="772" spans="1:20" x14ac:dyDescent="0.3">
      <c r="A772" s="13">
        <v>45657</v>
      </c>
      <c r="B772" s="7" t="s">
        <v>125</v>
      </c>
      <c r="C772" s="7" t="s">
        <v>27</v>
      </c>
      <c r="D772" s="7" t="s">
        <v>103</v>
      </c>
      <c r="E772" s="7" t="s">
        <v>30</v>
      </c>
      <c r="F772" s="14">
        <v>856</v>
      </c>
      <c r="G772" s="15">
        <v>203.6</v>
      </c>
      <c r="H772" s="16">
        <v>7.4376416532072706E-2</v>
      </c>
      <c r="I772" s="16">
        <v>2.583560394001649E-2</v>
      </c>
      <c r="J772" s="15">
        <v>130.06</v>
      </c>
      <c r="K772" s="14">
        <v>77</v>
      </c>
      <c r="L772" s="14">
        <v>5</v>
      </c>
      <c r="M772" s="15">
        <v>6.15</v>
      </c>
      <c r="N772" s="17">
        <v>174281.60000000001</v>
      </c>
      <c r="O772" s="17">
        <v>12962.440875476081</v>
      </c>
      <c r="P772" s="17">
        <v>4167.7779030776974</v>
      </c>
      <c r="Q772" s="17">
        <v>157151.38122144621</v>
      </c>
      <c r="R772" s="17">
        <v>111331.36</v>
      </c>
      <c r="S772" s="17">
        <v>45820.021221446237</v>
      </c>
      <c r="T772" s="17">
        <v>30.75</v>
      </c>
    </row>
    <row r="773" spans="1:20" x14ac:dyDescent="0.3">
      <c r="A773" s="13">
        <v>45657</v>
      </c>
      <c r="B773" s="7" t="s">
        <v>125</v>
      </c>
      <c r="C773" s="7" t="s">
        <v>27</v>
      </c>
      <c r="D773" s="7" t="s">
        <v>104</v>
      </c>
      <c r="E773" s="7" t="s">
        <v>25</v>
      </c>
      <c r="F773" s="14">
        <v>3124</v>
      </c>
      <c r="G773" s="15">
        <v>52.99</v>
      </c>
      <c r="H773" s="16">
        <v>5.3379730388559088E-2</v>
      </c>
      <c r="I773" s="16">
        <v>3.8505443068350118E-2</v>
      </c>
      <c r="J773" s="15">
        <v>22.84</v>
      </c>
      <c r="K773" s="14">
        <v>2062</v>
      </c>
      <c r="L773" s="14">
        <v>752</v>
      </c>
      <c r="M773" s="15">
        <v>29.26</v>
      </c>
      <c r="N773" s="17">
        <v>165540.76</v>
      </c>
      <c r="O773" s="17">
        <v>8836.5211371171681</v>
      </c>
      <c r="P773" s="17">
        <v>6033.9661481038729</v>
      </c>
      <c r="Q773" s="17">
        <v>150670.27271477901</v>
      </c>
      <c r="R773" s="17">
        <v>71352.160000000003</v>
      </c>
      <c r="S773" s="17">
        <v>79318.112714778952</v>
      </c>
      <c r="T773" s="17">
        <v>22003.52</v>
      </c>
    </row>
    <row r="774" spans="1:20" x14ac:dyDescent="0.3">
      <c r="A774" s="13">
        <v>45657</v>
      </c>
      <c r="B774" s="7" t="s">
        <v>125</v>
      </c>
      <c r="C774" s="7" t="s">
        <v>27</v>
      </c>
      <c r="D774" s="7" t="s">
        <v>104</v>
      </c>
      <c r="E774" s="7" t="s">
        <v>28</v>
      </c>
      <c r="F774" s="14">
        <v>1107</v>
      </c>
      <c r="G774" s="15">
        <v>47.32</v>
      </c>
      <c r="H774" s="16">
        <v>0.16125440280273631</v>
      </c>
      <c r="I774" s="16">
        <v>8.8011930062420266E-2</v>
      </c>
      <c r="J774" s="15">
        <v>23.03</v>
      </c>
      <c r="K774" s="14">
        <v>909</v>
      </c>
      <c r="L774" s="14">
        <v>264</v>
      </c>
      <c r="M774" s="15">
        <v>23.13</v>
      </c>
      <c r="N774" s="17">
        <v>52383.24</v>
      </c>
      <c r="O774" s="17">
        <v>8447.0280830724096</v>
      </c>
      <c r="P774" s="17">
        <v>3866.9108104403072</v>
      </c>
      <c r="Q774" s="17">
        <v>40069.301106487277</v>
      </c>
      <c r="R774" s="17">
        <v>25494.21</v>
      </c>
      <c r="S774" s="17">
        <v>14575.09110648728</v>
      </c>
      <c r="T774" s="17">
        <v>6106.32</v>
      </c>
    </row>
    <row r="775" spans="1:20" x14ac:dyDescent="0.3">
      <c r="A775" s="13">
        <v>45657</v>
      </c>
      <c r="B775" s="7" t="s">
        <v>125</v>
      </c>
      <c r="C775" s="7" t="s">
        <v>27</v>
      </c>
      <c r="D775" s="7" t="s">
        <v>104</v>
      </c>
      <c r="E775" s="7" t="s">
        <v>30</v>
      </c>
      <c r="F775" s="14">
        <v>870</v>
      </c>
      <c r="G775" s="15">
        <v>41.74</v>
      </c>
      <c r="H775" s="16">
        <v>8.0330449607864549E-2</v>
      </c>
      <c r="I775" s="16">
        <v>2.0629432652883289E-2</v>
      </c>
      <c r="J775" s="15">
        <v>23.52</v>
      </c>
      <c r="K775" s="14">
        <v>73</v>
      </c>
      <c r="L775" s="14">
        <v>4</v>
      </c>
      <c r="M775" s="15">
        <v>3.83</v>
      </c>
      <c r="N775" s="17">
        <v>36313.800000000003</v>
      </c>
      <c r="O775" s="17">
        <v>2917.1038809700722</v>
      </c>
      <c r="P775" s="17">
        <v>688.95489341633674</v>
      </c>
      <c r="Q775" s="17">
        <v>32707.741225613601</v>
      </c>
      <c r="R775" s="17">
        <v>20462.400000000001</v>
      </c>
      <c r="S775" s="17">
        <v>12245.3412256136</v>
      </c>
      <c r="T775" s="17">
        <v>15.32</v>
      </c>
    </row>
    <row r="776" spans="1:20" x14ac:dyDescent="0.3">
      <c r="A776" s="13">
        <v>45657</v>
      </c>
      <c r="B776" s="7" t="s">
        <v>125</v>
      </c>
      <c r="C776" s="7" t="s">
        <v>29</v>
      </c>
      <c r="D776" s="7" t="s">
        <v>102</v>
      </c>
      <c r="E776" s="7" t="s">
        <v>25</v>
      </c>
      <c r="F776" s="14">
        <v>4729</v>
      </c>
      <c r="G776" s="15">
        <v>117.77</v>
      </c>
      <c r="H776" s="16">
        <v>8.6414933080999692E-2</v>
      </c>
      <c r="I776" s="16">
        <v>5.3701018536103713E-2</v>
      </c>
      <c r="J776" s="15">
        <v>74.11</v>
      </c>
      <c r="K776" s="14">
        <v>3047</v>
      </c>
      <c r="L776" s="14">
        <v>1159</v>
      </c>
      <c r="M776" s="15">
        <v>31.81</v>
      </c>
      <c r="N776" s="17">
        <v>556934.32999999996</v>
      </c>
      <c r="O776" s="17">
        <v>48127.442857461399</v>
      </c>
      <c r="P776" s="17">
        <v>27323.448077738689</v>
      </c>
      <c r="Q776" s="17">
        <v>481483.43906479992</v>
      </c>
      <c r="R776" s="17">
        <v>350466.19</v>
      </c>
      <c r="S776" s="17">
        <v>131017.24906479989</v>
      </c>
      <c r="T776" s="17">
        <v>36867.79</v>
      </c>
    </row>
    <row r="777" spans="1:20" x14ac:dyDescent="0.3">
      <c r="A777" s="13">
        <v>45657</v>
      </c>
      <c r="B777" s="7" t="s">
        <v>125</v>
      </c>
      <c r="C777" s="7" t="s">
        <v>29</v>
      </c>
      <c r="D777" s="7" t="s">
        <v>102</v>
      </c>
      <c r="E777" s="7" t="s">
        <v>28</v>
      </c>
      <c r="F777" s="14">
        <v>2486</v>
      </c>
      <c r="G777" s="15">
        <v>113.18</v>
      </c>
      <c r="H777" s="16">
        <v>9.4331673891831863E-2</v>
      </c>
      <c r="I777" s="16">
        <v>6.5908098272471141E-2</v>
      </c>
      <c r="J777" s="15">
        <v>73.319999999999993</v>
      </c>
      <c r="K777" s="14">
        <v>2227</v>
      </c>
      <c r="L777" s="14">
        <v>689</v>
      </c>
      <c r="M777" s="15">
        <v>15.95</v>
      </c>
      <c r="N777" s="17">
        <v>281365.48</v>
      </c>
      <c r="O777" s="17">
        <v>26541.676703778739</v>
      </c>
      <c r="P777" s="17">
        <v>16794.952269812209</v>
      </c>
      <c r="Q777" s="17">
        <v>238028.8510264091</v>
      </c>
      <c r="R777" s="17">
        <v>182273.52</v>
      </c>
      <c r="S777" s="17">
        <v>55755.331026409112</v>
      </c>
      <c r="T777" s="17">
        <v>10989.55</v>
      </c>
    </row>
    <row r="778" spans="1:20" x14ac:dyDescent="0.3">
      <c r="A778" s="13">
        <v>45657</v>
      </c>
      <c r="B778" s="7" t="s">
        <v>125</v>
      </c>
      <c r="C778" s="7" t="s">
        <v>29</v>
      </c>
      <c r="D778" s="7" t="s">
        <v>102</v>
      </c>
      <c r="E778" s="7" t="s">
        <v>30</v>
      </c>
      <c r="F778" s="14">
        <v>2129</v>
      </c>
      <c r="G778" s="15">
        <v>93.36</v>
      </c>
      <c r="H778" s="16">
        <v>6.7671295260980591E-2</v>
      </c>
      <c r="I778" s="16">
        <v>2.484684651204027E-2</v>
      </c>
      <c r="J778" s="15">
        <v>70.180000000000007</v>
      </c>
      <c r="K778" s="14">
        <v>175</v>
      </c>
      <c r="L778" s="14">
        <v>10</v>
      </c>
      <c r="M778" s="15">
        <v>5.05</v>
      </c>
      <c r="N778" s="17">
        <v>198763.44</v>
      </c>
      <c r="O778" s="17">
        <v>13450.5794353282</v>
      </c>
      <c r="P778" s="17">
        <v>4604.440203157521</v>
      </c>
      <c r="Q778" s="17">
        <v>180708.42036151429</v>
      </c>
      <c r="R778" s="17">
        <v>149413.22</v>
      </c>
      <c r="S778" s="17">
        <v>31295.200361514289</v>
      </c>
      <c r="T778" s="17">
        <v>50.5</v>
      </c>
    </row>
    <row r="779" spans="1:20" x14ac:dyDescent="0.3">
      <c r="A779" s="13">
        <v>45657</v>
      </c>
      <c r="B779" s="7" t="s">
        <v>125</v>
      </c>
      <c r="C779" s="7" t="s">
        <v>29</v>
      </c>
      <c r="D779" s="7" t="s">
        <v>103</v>
      </c>
      <c r="E779" s="7" t="s">
        <v>25</v>
      </c>
      <c r="F779" s="14">
        <v>2204</v>
      </c>
      <c r="G779" s="15">
        <v>217.34</v>
      </c>
      <c r="H779" s="16">
        <v>0.1079894448134792</v>
      </c>
      <c r="I779" s="16">
        <v>4.9289320135322147E-2</v>
      </c>
      <c r="J779" s="15">
        <v>120.41</v>
      </c>
      <c r="K779" s="14">
        <v>1542</v>
      </c>
      <c r="L779" s="14">
        <v>578</v>
      </c>
      <c r="M779" s="15">
        <v>34.869999999999997</v>
      </c>
      <c r="N779" s="17">
        <v>479017.36</v>
      </c>
      <c r="O779" s="17">
        <v>51728.818762418523</v>
      </c>
      <c r="P779" s="17">
        <v>21060.761699213959</v>
      </c>
      <c r="Q779" s="17">
        <v>406227.77953836753</v>
      </c>
      <c r="R779" s="17">
        <v>265383.64</v>
      </c>
      <c r="S779" s="17">
        <v>140844.13953836751</v>
      </c>
      <c r="T779" s="17">
        <v>20154.86</v>
      </c>
    </row>
    <row r="780" spans="1:20" x14ac:dyDescent="0.3">
      <c r="A780" s="13">
        <v>45657</v>
      </c>
      <c r="B780" s="7" t="s">
        <v>125</v>
      </c>
      <c r="C780" s="7" t="s">
        <v>29</v>
      </c>
      <c r="D780" s="7" t="s">
        <v>103</v>
      </c>
      <c r="E780" s="7" t="s">
        <v>28</v>
      </c>
      <c r="F780" s="14">
        <v>1264</v>
      </c>
      <c r="G780" s="15">
        <v>214.48</v>
      </c>
      <c r="H780" s="16">
        <v>0.10974541866733679</v>
      </c>
      <c r="I780" s="16">
        <v>5.4632580998381003E-2</v>
      </c>
      <c r="J780" s="15">
        <v>132.34</v>
      </c>
      <c r="K780" s="14">
        <v>1080</v>
      </c>
      <c r="L780" s="14">
        <v>291</v>
      </c>
      <c r="M780" s="15">
        <v>18.98</v>
      </c>
      <c r="N780" s="17">
        <v>271102.71999999997</v>
      </c>
      <c r="O780" s="17">
        <v>29752.281508253789</v>
      </c>
      <c r="P780" s="17">
        <v>13185.597379895091</v>
      </c>
      <c r="Q780" s="17">
        <v>228164.8411118511</v>
      </c>
      <c r="R780" s="17">
        <v>167277.76000000001</v>
      </c>
      <c r="S780" s="17">
        <v>60887.08111185109</v>
      </c>
      <c r="T780" s="17">
        <v>5523.18</v>
      </c>
    </row>
    <row r="781" spans="1:20" x14ac:dyDescent="0.3">
      <c r="A781" s="13">
        <v>45657</v>
      </c>
      <c r="B781" s="7" t="s">
        <v>125</v>
      </c>
      <c r="C781" s="7" t="s">
        <v>29</v>
      </c>
      <c r="D781" s="7" t="s">
        <v>103</v>
      </c>
      <c r="E781" s="7" t="s">
        <v>30</v>
      </c>
      <c r="F781" s="14">
        <v>856</v>
      </c>
      <c r="G781" s="15">
        <v>176.37</v>
      </c>
      <c r="H781" s="16">
        <v>5.9463891513255221E-2</v>
      </c>
      <c r="I781" s="16">
        <v>1.8343238504560759E-2</v>
      </c>
      <c r="J781" s="15">
        <v>127.85</v>
      </c>
      <c r="K781" s="14">
        <v>65</v>
      </c>
      <c r="L781" s="14">
        <v>4</v>
      </c>
      <c r="M781" s="15">
        <v>5.7</v>
      </c>
      <c r="N781" s="17">
        <v>150972.72</v>
      </c>
      <c r="O781" s="17">
        <v>8977.4254435410567</v>
      </c>
      <c r="P781" s="17">
        <v>2604.6535545744841</v>
      </c>
      <c r="Q781" s="17">
        <v>139390.64100188451</v>
      </c>
      <c r="R781" s="17">
        <v>109439.6</v>
      </c>
      <c r="S781" s="17">
        <v>29951.041001884489</v>
      </c>
      <c r="T781" s="17">
        <v>22.8</v>
      </c>
    </row>
    <row r="782" spans="1:20" x14ac:dyDescent="0.3">
      <c r="A782" s="13">
        <v>45657</v>
      </c>
      <c r="B782" s="7" t="s">
        <v>125</v>
      </c>
      <c r="C782" s="7" t="s">
        <v>29</v>
      </c>
      <c r="D782" s="7" t="s">
        <v>104</v>
      </c>
      <c r="E782" s="7" t="s">
        <v>25</v>
      </c>
      <c r="F782" s="14">
        <v>1963</v>
      </c>
      <c r="G782" s="15">
        <v>45.68</v>
      </c>
      <c r="H782" s="16">
        <v>9.0990046054504836E-2</v>
      </c>
      <c r="I782" s="16">
        <v>4.9687698956813527E-2</v>
      </c>
      <c r="J782" s="15">
        <v>23.14</v>
      </c>
      <c r="K782" s="14">
        <v>1370</v>
      </c>
      <c r="L782" s="14">
        <v>502</v>
      </c>
      <c r="M782" s="15">
        <v>34.85</v>
      </c>
      <c r="N782" s="17">
        <v>89669.84</v>
      </c>
      <c r="O782" s="17">
        <v>8159.0628713000797</v>
      </c>
      <c r="P782" s="17">
        <v>4050.0829557067641</v>
      </c>
      <c r="Q782" s="17">
        <v>77460.694172993157</v>
      </c>
      <c r="R782" s="17">
        <v>45423.82</v>
      </c>
      <c r="S782" s="17">
        <v>32036.874172993161</v>
      </c>
      <c r="T782" s="17">
        <v>17494.7</v>
      </c>
    </row>
    <row r="783" spans="1:20" x14ac:dyDescent="0.3">
      <c r="A783" s="13">
        <v>45657</v>
      </c>
      <c r="B783" s="7" t="s">
        <v>125</v>
      </c>
      <c r="C783" s="7" t="s">
        <v>29</v>
      </c>
      <c r="D783" s="7" t="s">
        <v>104</v>
      </c>
      <c r="E783" s="7" t="s">
        <v>28</v>
      </c>
      <c r="F783" s="14">
        <v>860</v>
      </c>
      <c r="G783" s="15">
        <v>41.64</v>
      </c>
      <c r="H783" s="16">
        <v>0.1127408197456031</v>
      </c>
      <c r="I783" s="16">
        <v>6.1267904756764857E-2</v>
      </c>
      <c r="J783" s="15">
        <v>23.1</v>
      </c>
      <c r="K783" s="14">
        <v>738</v>
      </c>
      <c r="L783" s="14">
        <v>220</v>
      </c>
      <c r="M783" s="15">
        <v>17.41</v>
      </c>
      <c r="N783" s="17">
        <v>35810.400000000001</v>
      </c>
      <c r="O783" s="17">
        <v>4037.293851417945</v>
      </c>
      <c r="P783" s="17">
        <v>1946.6716413379061</v>
      </c>
      <c r="Q783" s="17">
        <v>29826.43450724415</v>
      </c>
      <c r="R783" s="17">
        <v>19866</v>
      </c>
      <c r="S783" s="17">
        <v>9960.4345072441502</v>
      </c>
      <c r="T783" s="17">
        <v>3830.2</v>
      </c>
    </row>
    <row r="784" spans="1:20" x14ac:dyDescent="0.3">
      <c r="A784" s="13">
        <v>45657</v>
      </c>
      <c r="B784" s="7" t="s">
        <v>125</v>
      </c>
      <c r="C784" s="7" t="s">
        <v>29</v>
      </c>
      <c r="D784" s="7" t="s">
        <v>104</v>
      </c>
      <c r="E784" s="7" t="s">
        <v>30</v>
      </c>
      <c r="F784" s="14">
        <v>591</v>
      </c>
      <c r="G784" s="15">
        <v>37.5</v>
      </c>
      <c r="H784" s="16">
        <v>7.9658650917521528E-2</v>
      </c>
      <c r="I784" s="16">
        <v>2.509461620044949E-2</v>
      </c>
      <c r="J784" s="15">
        <v>22.08</v>
      </c>
      <c r="K784" s="14">
        <v>49</v>
      </c>
      <c r="L784" s="14">
        <v>3</v>
      </c>
      <c r="M784" s="15">
        <v>4.45</v>
      </c>
      <c r="N784" s="17">
        <v>22162.5</v>
      </c>
      <c r="O784" s="17">
        <v>1765.4348509595709</v>
      </c>
      <c r="P784" s="17">
        <v>511.85652153073369</v>
      </c>
      <c r="Q784" s="17">
        <v>19885.208627509699</v>
      </c>
      <c r="R784" s="17">
        <v>13049.28</v>
      </c>
      <c r="S784" s="17">
        <v>6835.9286275096974</v>
      </c>
      <c r="T784" s="17">
        <v>13.35</v>
      </c>
    </row>
    <row r="785" spans="1:20" x14ac:dyDescent="0.3">
      <c r="A785" s="13">
        <v>45657</v>
      </c>
      <c r="B785" s="7" t="s">
        <v>125</v>
      </c>
      <c r="C785" s="7" t="s">
        <v>31</v>
      </c>
      <c r="D785" s="7" t="s">
        <v>102</v>
      </c>
      <c r="E785" s="7" t="s">
        <v>25</v>
      </c>
      <c r="F785" s="14">
        <v>2094</v>
      </c>
      <c r="G785" s="15">
        <v>111.57</v>
      </c>
      <c r="H785" s="16">
        <v>8.6740687376212586E-2</v>
      </c>
      <c r="I785" s="16">
        <v>5.4667825568989761E-2</v>
      </c>
      <c r="J785" s="15">
        <v>70.400000000000006</v>
      </c>
      <c r="K785" s="14">
        <v>1485</v>
      </c>
      <c r="L785" s="14">
        <v>613</v>
      </c>
      <c r="M785" s="15">
        <v>34.51</v>
      </c>
      <c r="N785" s="17">
        <v>233627.58</v>
      </c>
      <c r="O785" s="17">
        <v>20265.016879241099</v>
      </c>
      <c r="P785" s="17">
        <v>11664.06738363821</v>
      </c>
      <c r="Q785" s="17">
        <v>201698.49573712071</v>
      </c>
      <c r="R785" s="17">
        <v>147417.60000000001</v>
      </c>
      <c r="S785" s="17">
        <v>54280.895737120678</v>
      </c>
      <c r="T785" s="17">
        <v>21154.63</v>
      </c>
    </row>
    <row r="786" spans="1:20" x14ac:dyDescent="0.3">
      <c r="A786" s="13">
        <v>45657</v>
      </c>
      <c r="B786" s="7" t="s">
        <v>125</v>
      </c>
      <c r="C786" s="7" t="s">
        <v>31</v>
      </c>
      <c r="D786" s="7" t="s">
        <v>102</v>
      </c>
      <c r="E786" s="7" t="s">
        <v>28</v>
      </c>
      <c r="F786" s="14">
        <v>926</v>
      </c>
      <c r="G786" s="15">
        <v>102.71</v>
      </c>
      <c r="H786" s="16">
        <v>0.1137581116181992</v>
      </c>
      <c r="I786" s="16">
        <v>5.1213109148269653E-2</v>
      </c>
      <c r="J786" s="15">
        <v>68.89</v>
      </c>
      <c r="K786" s="14">
        <v>793</v>
      </c>
      <c r="L786" s="14">
        <v>225</v>
      </c>
      <c r="M786" s="15">
        <v>13.33</v>
      </c>
      <c r="N786" s="17">
        <v>95109.459999999992</v>
      </c>
      <c r="O786" s="17">
        <v>10819.472566626649</v>
      </c>
      <c r="P786" s="17">
        <v>4316.7523265316258</v>
      </c>
      <c r="Q786" s="17">
        <v>79973.235106841719</v>
      </c>
      <c r="R786" s="17">
        <v>63792.14</v>
      </c>
      <c r="S786" s="17">
        <v>16181.09510684172</v>
      </c>
      <c r="T786" s="17">
        <v>2999.25</v>
      </c>
    </row>
    <row r="787" spans="1:20" x14ac:dyDescent="0.3">
      <c r="A787" s="13">
        <v>45657</v>
      </c>
      <c r="B787" s="7" t="s">
        <v>125</v>
      </c>
      <c r="C787" s="7" t="s">
        <v>31</v>
      </c>
      <c r="D787" s="7" t="s">
        <v>102</v>
      </c>
      <c r="E787" s="7" t="s">
        <v>30</v>
      </c>
      <c r="F787" s="14">
        <v>1091</v>
      </c>
      <c r="G787" s="15">
        <v>94.47</v>
      </c>
      <c r="H787" s="16">
        <v>6.1489449386872931E-2</v>
      </c>
      <c r="I787" s="16">
        <v>2.4284877684913931E-2</v>
      </c>
      <c r="J787" s="15">
        <v>69.209999999999994</v>
      </c>
      <c r="K787" s="14">
        <v>95</v>
      </c>
      <c r="L787" s="14">
        <v>5</v>
      </c>
      <c r="M787" s="15">
        <v>5.03</v>
      </c>
      <c r="N787" s="17">
        <v>103066.77</v>
      </c>
      <c r="O787" s="17">
        <v>6337.5189373834737</v>
      </c>
      <c r="P787" s="17">
        <v>2349.0580306089728</v>
      </c>
      <c r="Q787" s="17">
        <v>94380.193032007563</v>
      </c>
      <c r="R787" s="17">
        <v>75508.109999999986</v>
      </c>
      <c r="S787" s="17">
        <v>18872.08303200758</v>
      </c>
      <c r="T787" s="17">
        <v>25.15</v>
      </c>
    </row>
    <row r="788" spans="1:20" x14ac:dyDescent="0.3">
      <c r="A788" s="13">
        <v>45657</v>
      </c>
      <c r="B788" s="7" t="s">
        <v>125</v>
      </c>
      <c r="C788" s="7" t="s">
        <v>31</v>
      </c>
      <c r="D788" s="7" t="s">
        <v>103</v>
      </c>
      <c r="E788" s="7" t="s">
        <v>25</v>
      </c>
      <c r="F788" s="14">
        <v>1110</v>
      </c>
      <c r="G788" s="15">
        <v>209.3</v>
      </c>
      <c r="H788" s="16">
        <v>0.1048679572260089</v>
      </c>
      <c r="I788" s="16">
        <v>4.7163400805404113E-2</v>
      </c>
      <c r="J788" s="15">
        <v>127.18</v>
      </c>
      <c r="K788" s="14">
        <v>803</v>
      </c>
      <c r="L788" s="14">
        <v>282</v>
      </c>
      <c r="M788" s="15">
        <v>28.95</v>
      </c>
      <c r="N788" s="17">
        <v>232323</v>
      </c>
      <c r="O788" s="17">
        <v>24363.238426618071</v>
      </c>
      <c r="P788" s="17">
        <v>9808.0895864816866</v>
      </c>
      <c r="Q788" s="17">
        <v>198151.67198690021</v>
      </c>
      <c r="R788" s="17">
        <v>141169.79999999999</v>
      </c>
      <c r="S788" s="17">
        <v>56981.871986900223</v>
      </c>
      <c r="T788" s="17">
        <v>8163.9</v>
      </c>
    </row>
    <row r="789" spans="1:20" x14ac:dyDescent="0.3">
      <c r="A789" s="13">
        <v>45657</v>
      </c>
      <c r="B789" s="7" t="s">
        <v>125</v>
      </c>
      <c r="C789" s="7" t="s">
        <v>31</v>
      </c>
      <c r="D789" s="7" t="s">
        <v>103</v>
      </c>
      <c r="E789" s="7" t="s">
        <v>28</v>
      </c>
      <c r="F789" s="14">
        <v>620</v>
      </c>
      <c r="G789" s="15">
        <v>193.76</v>
      </c>
      <c r="H789" s="16">
        <v>0.1130182359264755</v>
      </c>
      <c r="I789" s="16">
        <v>7.9591083058074441E-2</v>
      </c>
      <c r="J789" s="15">
        <v>117.13</v>
      </c>
      <c r="K789" s="14">
        <v>514</v>
      </c>
      <c r="L789" s="14">
        <v>166</v>
      </c>
      <c r="M789" s="15">
        <v>13.42</v>
      </c>
      <c r="N789" s="17">
        <v>120131.2</v>
      </c>
      <c r="O789" s="17">
        <v>13577.016303730619</v>
      </c>
      <c r="P789" s="17">
        <v>8480.7628847550968</v>
      </c>
      <c r="Q789" s="17">
        <v>98073.420811514283</v>
      </c>
      <c r="R789" s="17">
        <v>72620.599999999991</v>
      </c>
      <c r="S789" s="17">
        <v>25452.820811514292</v>
      </c>
      <c r="T789" s="17">
        <v>2227.7199999999998</v>
      </c>
    </row>
    <row r="790" spans="1:20" x14ac:dyDescent="0.3">
      <c r="A790" s="13">
        <v>45657</v>
      </c>
      <c r="B790" s="7" t="s">
        <v>125</v>
      </c>
      <c r="C790" s="7" t="s">
        <v>31</v>
      </c>
      <c r="D790" s="7" t="s">
        <v>103</v>
      </c>
      <c r="E790" s="7" t="s">
        <v>30</v>
      </c>
      <c r="F790" s="14">
        <v>380</v>
      </c>
      <c r="G790" s="15">
        <v>169.53</v>
      </c>
      <c r="H790" s="16">
        <v>8.3841069205957283E-2</v>
      </c>
      <c r="I790" s="16">
        <v>1.320912539261203E-2</v>
      </c>
      <c r="J790" s="15">
        <v>117.3</v>
      </c>
      <c r="K790" s="14">
        <v>32</v>
      </c>
      <c r="L790" s="14">
        <v>2</v>
      </c>
      <c r="M790" s="15">
        <v>4.74</v>
      </c>
      <c r="N790" s="17">
        <v>64421.4</v>
      </c>
      <c r="O790" s="17">
        <v>5401.1590557446571</v>
      </c>
      <c r="P790" s="17">
        <v>779.60576333484357</v>
      </c>
      <c r="Q790" s="17">
        <v>58240.635180920501</v>
      </c>
      <c r="R790" s="17">
        <v>44574</v>
      </c>
      <c r="S790" s="17">
        <v>13666.635180920501</v>
      </c>
      <c r="T790" s="17">
        <v>9.48</v>
      </c>
    </row>
    <row r="791" spans="1:20" x14ac:dyDescent="0.3">
      <c r="A791" s="13">
        <v>45657</v>
      </c>
      <c r="B791" s="7" t="s">
        <v>125</v>
      </c>
      <c r="C791" s="7" t="s">
        <v>31</v>
      </c>
      <c r="D791" s="7" t="s">
        <v>104</v>
      </c>
      <c r="E791" s="7" t="s">
        <v>25</v>
      </c>
      <c r="F791" s="14">
        <v>899</v>
      </c>
      <c r="G791" s="15">
        <v>41.7</v>
      </c>
      <c r="H791" s="16">
        <v>9.1876887273867197E-2</v>
      </c>
      <c r="I791" s="16">
        <v>3.9548771096759493E-2</v>
      </c>
      <c r="J791" s="15">
        <v>21.19</v>
      </c>
      <c r="K791" s="14">
        <v>622</v>
      </c>
      <c r="L791" s="14">
        <v>246</v>
      </c>
      <c r="M791" s="15">
        <v>31.35</v>
      </c>
      <c r="N791" s="17">
        <v>37488.300000000003</v>
      </c>
      <c r="O791" s="17">
        <v>3444.3083131889161</v>
      </c>
      <c r="P791" s="17">
        <v>1346.398034441675</v>
      </c>
      <c r="Q791" s="17">
        <v>32697.593652369411</v>
      </c>
      <c r="R791" s="17">
        <v>19049.810000000001</v>
      </c>
      <c r="S791" s="17">
        <v>13647.78365236941</v>
      </c>
      <c r="T791" s="17">
        <v>7712.1</v>
      </c>
    </row>
    <row r="792" spans="1:20" x14ac:dyDescent="0.3">
      <c r="A792" s="13">
        <v>45657</v>
      </c>
      <c r="B792" s="7" t="s">
        <v>125</v>
      </c>
      <c r="C792" s="7" t="s">
        <v>31</v>
      </c>
      <c r="D792" s="7" t="s">
        <v>104</v>
      </c>
      <c r="E792" s="7" t="s">
        <v>28</v>
      </c>
      <c r="F792" s="14">
        <v>407</v>
      </c>
      <c r="G792" s="15">
        <v>39.72</v>
      </c>
      <c r="H792" s="16">
        <v>0.1122186867760681</v>
      </c>
      <c r="I792" s="16">
        <v>7.9090721009568973E-2</v>
      </c>
      <c r="J792" s="15">
        <v>21.03</v>
      </c>
      <c r="K792" s="14">
        <v>337</v>
      </c>
      <c r="L792" s="14">
        <v>101</v>
      </c>
      <c r="M792" s="15">
        <v>15.66</v>
      </c>
      <c r="N792" s="17">
        <v>16166.04</v>
      </c>
      <c r="O792" s="17">
        <v>1814.1317791693871</v>
      </c>
      <c r="P792" s="17">
        <v>1135.102769048653</v>
      </c>
      <c r="Q792" s="17">
        <v>13216.80545178196</v>
      </c>
      <c r="R792" s="17">
        <v>8559.2100000000009</v>
      </c>
      <c r="S792" s="17">
        <v>4657.5954517819573</v>
      </c>
      <c r="T792" s="17">
        <v>1581.66</v>
      </c>
    </row>
    <row r="793" spans="1:20" x14ac:dyDescent="0.3">
      <c r="A793" s="13">
        <v>45657</v>
      </c>
      <c r="B793" s="7" t="s">
        <v>125</v>
      </c>
      <c r="C793" s="7" t="s">
        <v>31</v>
      </c>
      <c r="D793" s="7" t="s">
        <v>104</v>
      </c>
      <c r="E793" s="7" t="s">
        <v>30</v>
      </c>
      <c r="F793" s="14">
        <v>551</v>
      </c>
      <c r="G793" s="15">
        <v>35.22</v>
      </c>
      <c r="H793" s="16">
        <v>4.8190241535374323E-2</v>
      </c>
      <c r="I793" s="16">
        <v>1.882363045013781E-2</v>
      </c>
      <c r="J793" s="15">
        <v>23.2</v>
      </c>
      <c r="K793" s="14">
        <v>44</v>
      </c>
      <c r="L793" s="14">
        <v>2</v>
      </c>
      <c r="M793" s="15">
        <v>3.61</v>
      </c>
      <c r="N793" s="17">
        <v>19406.22</v>
      </c>
      <c r="O793" s="17">
        <v>935.19042908861195</v>
      </c>
      <c r="P793" s="17">
        <v>347.69183467640352</v>
      </c>
      <c r="Q793" s="17">
        <v>18123.337736234989</v>
      </c>
      <c r="R793" s="17">
        <v>12783.2</v>
      </c>
      <c r="S793" s="17">
        <v>5340.1377362349867</v>
      </c>
      <c r="T793" s="17">
        <v>7.22</v>
      </c>
    </row>
    <row r="794" spans="1:20" x14ac:dyDescent="0.3">
      <c r="A794" s="13">
        <v>45688</v>
      </c>
      <c r="B794" s="7" t="s">
        <v>126</v>
      </c>
      <c r="C794" s="7" t="s">
        <v>24</v>
      </c>
      <c r="D794" s="7" t="s">
        <v>102</v>
      </c>
      <c r="E794" s="7" t="s">
        <v>25</v>
      </c>
      <c r="F794" s="14">
        <v>5113</v>
      </c>
      <c r="G794" s="15">
        <v>126.53</v>
      </c>
      <c r="H794" s="16">
        <v>6.6148911636009611E-2</v>
      </c>
      <c r="I794" s="16">
        <v>5.3902553275119898E-2</v>
      </c>
      <c r="J794" s="15">
        <v>77.069999999999993</v>
      </c>
      <c r="K794" s="14">
        <v>3653</v>
      </c>
      <c r="L794" s="14">
        <v>1482</v>
      </c>
      <c r="M794" s="15">
        <v>30.58</v>
      </c>
      <c r="N794" s="17">
        <v>646947.89</v>
      </c>
      <c r="O794" s="17">
        <v>42794.898808712867</v>
      </c>
      <c r="P794" s="17">
        <v>32565.3887940114</v>
      </c>
      <c r="Q794" s="17">
        <v>571587.60239727574</v>
      </c>
      <c r="R794" s="17">
        <v>394058.91</v>
      </c>
      <c r="S794" s="17">
        <v>177528.69239727579</v>
      </c>
      <c r="T794" s="17">
        <v>45319.56</v>
      </c>
    </row>
    <row r="795" spans="1:20" x14ac:dyDescent="0.3">
      <c r="A795" s="13">
        <v>45688</v>
      </c>
      <c r="B795" s="7" t="s">
        <v>126</v>
      </c>
      <c r="C795" s="7" t="s">
        <v>24</v>
      </c>
      <c r="D795" s="7" t="s">
        <v>102</v>
      </c>
      <c r="E795" s="7" t="s">
        <v>28</v>
      </c>
      <c r="F795" s="14">
        <v>2012</v>
      </c>
      <c r="G795" s="15">
        <v>119.7</v>
      </c>
      <c r="H795" s="16">
        <v>8.7463898086382288E-2</v>
      </c>
      <c r="I795" s="16">
        <v>7.6783418968960043E-2</v>
      </c>
      <c r="J795" s="15">
        <v>75.94</v>
      </c>
      <c r="K795" s="14">
        <v>1622</v>
      </c>
      <c r="L795" s="14">
        <v>474</v>
      </c>
      <c r="M795" s="15">
        <v>17.440000000000001</v>
      </c>
      <c r="N795" s="17">
        <v>240836.4</v>
      </c>
      <c r="O795" s="17">
        <v>21064.490345091199</v>
      </c>
      <c r="P795" s="17">
        <v>16874.8386166413</v>
      </c>
      <c r="Q795" s="17">
        <v>202897.07103826749</v>
      </c>
      <c r="R795" s="17">
        <v>152791.28</v>
      </c>
      <c r="S795" s="17">
        <v>50105.791038267489</v>
      </c>
      <c r="T795" s="17">
        <v>8266.5600000000013</v>
      </c>
    </row>
    <row r="796" spans="1:20" x14ac:dyDescent="0.3">
      <c r="A796" s="13">
        <v>45688</v>
      </c>
      <c r="B796" s="7" t="s">
        <v>126</v>
      </c>
      <c r="C796" s="7" t="s">
        <v>24</v>
      </c>
      <c r="D796" s="7" t="s">
        <v>102</v>
      </c>
      <c r="E796" s="7" t="s">
        <v>30</v>
      </c>
      <c r="F796" s="14">
        <v>2968</v>
      </c>
      <c r="G796" s="15">
        <v>107.49</v>
      </c>
      <c r="H796" s="16">
        <v>4.0433512289427487E-2</v>
      </c>
      <c r="I796" s="16">
        <v>3.028905588548881E-2</v>
      </c>
      <c r="J796" s="15">
        <v>69.989999999999995</v>
      </c>
      <c r="K796" s="14">
        <v>251</v>
      </c>
      <c r="L796" s="14">
        <v>15</v>
      </c>
      <c r="M796" s="15">
        <v>4.54</v>
      </c>
      <c r="N796" s="17">
        <v>319030.32</v>
      </c>
      <c r="O796" s="17">
        <v>12899.516364419989</v>
      </c>
      <c r="P796" s="17">
        <v>9272.4130195876842</v>
      </c>
      <c r="Q796" s="17">
        <v>296858.39061599231</v>
      </c>
      <c r="R796" s="17">
        <v>207730.32</v>
      </c>
      <c r="S796" s="17">
        <v>89128.070615992328</v>
      </c>
      <c r="T796" s="17">
        <v>68.099999999999994</v>
      </c>
    </row>
    <row r="797" spans="1:20" x14ac:dyDescent="0.3">
      <c r="A797" s="13">
        <v>45688</v>
      </c>
      <c r="B797" s="7" t="s">
        <v>126</v>
      </c>
      <c r="C797" s="7" t="s">
        <v>24</v>
      </c>
      <c r="D797" s="7" t="s">
        <v>103</v>
      </c>
      <c r="E797" s="7" t="s">
        <v>25</v>
      </c>
      <c r="F797" s="14">
        <v>2976</v>
      </c>
      <c r="G797" s="15">
        <v>234.84</v>
      </c>
      <c r="H797" s="16">
        <v>4.7199933154444131E-2</v>
      </c>
      <c r="I797" s="16">
        <v>4.842513896455005E-2</v>
      </c>
      <c r="J797" s="15">
        <v>128.22999999999999</v>
      </c>
      <c r="K797" s="14">
        <v>2088</v>
      </c>
      <c r="L797" s="14">
        <v>854</v>
      </c>
      <c r="M797" s="15">
        <v>20.81</v>
      </c>
      <c r="N797" s="17">
        <v>698883.84</v>
      </c>
      <c r="O797" s="17">
        <v>32987.270530721224</v>
      </c>
      <c r="P797" s="17">
        <v>32246.13391256698</v>
      </c>
      <c r="Q797" s="17">
        <v>633650.43555671186</v>
      </c>
      <c r="R797" s="17">
        <v>381612.48</v>
      </c>
      <c r="S797" s="17">
        <v>252037.95555671191</v>
      </c>
      <c r="T797" s="17">
        <v>17771.740000000002</v>
      </c>
    </row>
    <row r="798" spans="1:20" x14ac:dyDescent="0.3">
      <c r="A798" s="13">
        <v>45688</v>
      </c>
      <c r="B798" s="7" t="s">
        <v>126</v>
      </c>
      <c r="C798" s="7" t="s">
        <v>24</v>
      </c>
      <c r="D798" s="7" t="s">
        <v>103</v>
      </c>
      <c r="E798" s="7" t="s">
        <v>28</v>
      </c>
      <c r="F798" s="14">
        <v>1383</v>
      </c>
      <c r="G798" s="15">
        <v>215.9</v>
      </c>
      <c r="H798" s="16">
        <v>0.1009250734262668</v>
      </c>
      <c r="I798" s="16">
        <v>6.1752452612582748E-2</v>
      </c>
      <c r="J798" s="15">
        <v>120.56</v>
      </c>
      <c r="K798" s="14">
        <v>1079</v>
      </c>
      <c r="L798" s="14">
        <v>311</v>
      </c>
      <c r="M798" s="15">
        <v>20.85</v>
      </c>
      <c r="N798" s="17">
        <v>298589.7</v>
      </c>
      <c r="O798" s="17">
        <v>30135.187396826979</v>
      </c>
      <c r="P798" s="17">
        <v>16577.72456816144</v>
      </c>
      <c r="Q798" s="17">
        <v>251876.78803501159</v>
      </c>
      <c r="R798" s="17">
        <v>166734.48000000001</v>
      </c>
      <c r="S798" s="17">
        <v>85142.308035011578</v>
      </c>
      <c r="T798" s="17">
        <v>6484.35</v>
      </c>
    </row>
    <row r="799" spans="1:20" x14ac:dyDescent="0.3">
      <c r="A799" s="13">
        <v>45688</v>
      </c>
      <c r="B799" s="7" t="s">
        <v>126</v>
      </c>
      <c r="C799" s="7" t="s">
        <v>24</v>
      </c>
      <c r="D799" s="7" t="s">
        <v>103</v>
      </c>
      <c r="E799" s="7" t="s">
        <v>30</v>
      </c>
      <c r="F799" s="14">
        <v>855</v>
      </c>
      <c r="G799" s="15">
        <v>190.93</v>
      </c>
      <c r="H799" s="16">
        <v>4.3025624488230302E-2</v>
      </c>
      <c r="I799" s="16">
        <v>2.260724699529764E-2</v>
      </c>
      <c r="J799" s="15">
        <v>130.41999999999999</v>
      </c>
      <c r="K799" s="14">
        <v>72</v>
      </c>
      <c r="L799" s="14">
        <v>4</v>
      </c>
      <c r="M799" s="15">
        <v>4.93</v>
      </c>
      <c r="N799" s="17">
        <v>163245.15</v>
      </c>
      <c r="O799" s="17">
        <v>7023.7245234248276</v>
      </c>
      <c r="P799" s="17">
        <v>3531.7363517064191</v>
      </c>
      <c r="Q799" s="17">
        <v>152689.68912486869</v>
      </c>
      <c r="R799" s="17">
        <v>111509.1</v>
      </c>
      <c r="S799" s="17">
        <v>41180.589124868748</v>
      </c>
      <c r="T799" s="17">
        <v>19.72</v>
      </c>
    </row>
    <row r="800" spans="1:20" x14ac:dyDescent="0.3">
      <c r="A800" s="13">
        <v>45688</v>
      </c>
      <c r="B800" s="7" t="s">
        <v>126</v>
      </c>
      <c r="C800" s="7" t="s">
        <v>24</v>
      </c>
      <c r="D800" s="7" t="s">
        <v>104</v>
      </c>
      <c r="E800" s="7" t="s">
        <v>25</v>
      </c>
      <c r="F800" s="14">
        <v>2573</v>
      </c>
      <c r="G800" s="15">
        <v>48.59</v>
      </c>
      <c r="H800" s="16">
        <v>5.911521137291062E-2</v>
      </c>
      <c r="I800" s="16">
        <v>2.196249515907504E-2</v>
      </c>
      <c r="J800" s="15">
        <v>23.22</v>
      </c>
      <c r="K800" s="14">
        <v>1743</v>
      </c>
      <c r="L800" s="14">
        <v>670</v>
      </c>
      <c r="M800" s="15">
        <v>34.1</v>
      </c>
      <c r="N800" s="17">
        <v>125022.07</v>
      </c>
      <c r="O800" s="17">
        <v>7390.7060943288279</v>
      </c>
      <c r="P800" s="17">
        <v>2583.478260333698</v>
      </c>
      <c r="Q800" s="17">
        <v>115047.8856453375</v>
      </c>
      <c r="R800" s="17">
        <v>59745.06</v>
      </c>
      <c r="S800" s="17">
        <v>55302.825645337492</v>
      </c>
      <c r="T800" s="17">
        <v>22847</v>
      </c>
    </row>
    <row r="801" spans="1:20" x14ac:dyDescent="0.3">
      <c r="A801" s="13">
        <v>45688</v>
      </c>
      <c r="B801" s="7" t="s">
        <v>126</v>
      </c>
      <c r="C801" s="7" t="s">
        <v>24</v>
      </c>
      <c r="D801" s="7" t="s">
        <v>104</v>
      </c>
      <c r="E801" s="7" t="s">
        <v>28</v>
      </c>
      <c r="F801" s="14">
        <v>979</v>
      </c>
      <c r="G801" s="15">
        <v>45.74</v>
      </c>
      <c r="H801" s="16">
        <v>8.6907406082556912E-2</v>
      </c>
      <c r="I801" s="16">
        <v>4.2944506752787687E-2</v>
      </c>
      <c r="J801" s="15">
        <v>22.42</v>
      </c>
      <c r="K801" s="14">
        <v>774</v>
      </c>
      <c r="L801" s="14">
        <v>253</v>
      </c>
      <c r="M801" s="15">
        <v>22.22</v>
      </c>
      <c r="N801" s="17">
        <v>44779.46</v>
      </c>
      <c r="O801" s="17">
        <v>3891.666714377614</v>
      </c>
      <c r="P801" s="17">
        <v>1755.9061148609981</v>
      </c>
      <c r="Q801" s="17">
        <v>39131.887170761387</v>
      </c>
      <c r="R801" s="17">
        <v>21949.18</v>
      </c>
      <c r="S801" s="17">
        <v>17182.70717076139</v>
      </c>
      <c r="T801" s="17">
        <v>5621.66</v>
      </c>
    </row>
    <row r="802" spans="1:20" x14ac:dyDescent="0.3">
      <c r="A802" s="13">
        <v>45688</v>
      </c>
      <c r="B802" s="7" t="s">
        <v>126</v>
      </c>
      <c r="C802" s="7" t="s">
        <v>24</v>
      </c>
      <c r="D802" s="7" t="s">
        <v>104</v>
      </c>
      <c r="E802" s="7" t="s">
        <v>30</v>
      </c>
      <c r="F802" s="14">
        <v>908</v>
      </c>
      <c r="G802" s="15">
        <v>38.61</v>
      </c>
      <c r="H802" s="16">
        <v>4.9005058181682271E-2</v>
      </c>
      <c r="I802" s="16">
        <v>2.6764002674483631E-2</v>
      </c>
      <c r="J802" s="15">
        <v>22.67</v>
      </c>
      <c r="K802" s="14">
        <v>74</v>
      </c>
      <c r="L802" s="14">
        <v>5</v>
      </c>
      <c r="M802" s="15">
        <v>4.43</v>
      </c>
      <c r="N802" s="17">
        <v>35057.879999999997</v>
      </c>
      <c r="O802" s="17">
        <v>1718.013449126435</v>
      </c>
      <c r="P802" s="17">
        <v>892.30827753450728</v>
      </c>
      <c r="Q802" s="17">
        <v>32447.558273339058</v>
      </c>
      <c r="R802" s="17">
        <v>20584.36</v>
      </c>
      <c r="S802" s="17">
        <v>11863.19827333906</v>
      </c>
      <c r="T802" s="17">
        <v>22.15</v>
      </c>
    </row>
    <row r="803" spans="1:20" x14ac:dyDescent="0.3">
      <c r="A803" s="13">
        <v>45688</v>
      </c>
      <c r="B803" s="7" t="s">
        <v>126</v>
      </c>
      <c r="C803" s="7" t="s">
        <v>27</v>
      </c>
      <c r="D803" s="7" t="s">
        <v>102</v>
      </c>
      <c r="E803" s="7" t="s">
        <v>25</v>
      </c>
      <c r="F803" s="14">
        <v>2926</v>
      </c>
      <c r="G803" s="15">
        <v>138.9</v>
      </c>
      <c r="H803" s="16">
        <v>5.7063896660027758E-2</v>
      </c>
      <c r="I803" s="16">
        <v>2.654664512584759E-2</v>
      </c>
      <c r="J803" s="15">
        <v>75.430000000000007</v>
      </c>
      <c r="K803" s="14">
        <v>1898</v>
      </c>
      <c r="L803" s="14">
        <v>663</v>
      </c>
      <c r="M803" s="15">
        <v>34.909999999999997</v>
      </c>
      <c r="N803" s="17">
        <v>406421.4</v>
      </c>
      <c r="O803" s="17">
        <v>23191.988770023811</v>
      </c>
      <c r="P803" s="17">
        <v>10173.455181709691</v>
      </c>
      <c r="Q803" s="17">
        <v>373055.95604826661</v>
      </c>
      <c r="R803" s="17">
        <v>220708.18</v>
      </c>
      <c r="S803" s="17">
        <v>152347.7760482665</v>
      </c>
      <c r="T803" s="17">
        <v>23145.33</v>
      </c>
    </row>
    <row r="804" spans="1:20" x14ac:dyDescent="0.3">
      <c r="A804" s="13">
        <v>45688</v>
      </c>
      <c r="B804" s="7" t="s">
        <v>126</v>
      </c>
      <c r="C804" s="7" t="s">
        <v>27</v>
      </c>
      <c r="D804" s="7" t="s">
        <v>102</v>
      </c>
      <c r="E804" s="7" t="s">
        <v>28</v>
      </c>
      <c r="F804" s="14">
        <v>2343</v>
      </c>
      <c r="G804" s="15">
        <v>125.62</v>
      </c>
      <c r="H804" s="16">
        <v>0.1021733374113937</v>
      </c>
      <c r="I804" s="16">
        <v>7.1762196245302473E-2</v>
      </c>
      <c r="J804" s="15">
        <v>74.02</v>
      </c>
      <c r="K804" s="14">
        <v>1804</v>
      </c>
      <c r="L804" s="14">
        <v>537</v>
      </c>
      <c r="M804" s="15">
        <v>15.52</v>
      </c>
      <c r="N804" s="17">
        <v>294327.65999999997</v>
      </c>
      <c r="O804" s="17">
        <v>30072.439314685969</v>
      </c>
      <c r="P804" s="17">
        <v>18963.535005665221</v>
      </c>
      <c r="Q804" s="17">
        <v>245291.6856796488</v>
      </c>
      <c r="R804" s="17">
        <v>173428.86</v>
      </c>
      <c r="S804" s="17">
        <v>71862.825679648842</v>
      </c>
      <c r="T804" s="17">
        <v>8334.24</v>
      </c>
    </row>
    <row r="805" spans="1:20" x14ac:dyDescent="0.3">
      <c r="A805" s="13">
        <v>45688</v>
      </c>
      <c r="B805" s="7" t="s">
        <v>126</v>
      </c>
      <c r="C805" s="7" t="s">
        <v>27</v>
      </c>
      <c r="D805" s="7" t="s">
        <v>102</v>
      </c>
      <c r="E805" s="7" t="s">
        <v>30</v>
      </c>
      <c r="F805" s="14">
        <v>1569</v>
      </c>
      <c r="G805" s="15">
        <v>112.74</v>
      </c>
      <c r="H805" s="16">
        <v>4.5821050495407148E-2</v>
      </c>
      <c r="I805" s="16">
        <v>1.450795391018724E-2</v>
      </c>
      <c r="J805" s="15">
        <v>74.66</v>
      </c>
      <c r="K805" s="14">
        <v>119</v>
      </c>
      <c r="L805" s="14">
        <v>7</v>
      </c>
      <c r="M805" s="15">
        <v>3.64</v>
      </c>
      <c r="N805" s="17">
        <v>176889.06</v>
      </c>
      <c r="O805" s="17">
        <v>8105.242550345105</v>
      </c>
      <c r="P805" s="17">
        <v>2448.70784434505</v>
      </c>
      <c r="Q805" s="17">
        <v>166335.10960530979</v>
      </c>
      <c r="R805" s="17">
        <v>117141.54</v>
      </c>
      <c r="S805" s="17">
        <v>49193.569605309851</v>
      </c>
      <c r="T805" s="17">
        <v>25.48</v>
      </c>
    </row>
    <row r="806" spans="1:20" x14ac:dyDescent="0.3">
      <c r="A806" s="13">
        <v>45688</v>
      </c>
      <c r="B806" s="7" t="s">
        <v>126</v>
      </c>
      <c r="C806" s="7" t="s">
        <v>27</v>
      </c>
      <c r="D806" s="7" t="s">
        <v>103</v>
      </c>
      <c r="E806" s="7" t="s">
        <v>25</v>
      </c>
      <c r="F806" s="14">
        <v>1779</v>
      </c>
      <c r="G806" s="15">
        <v>249.36</v>
      </c>
      <c r="H806" s="16">
        <v>6.1117581162701523E-2</v>
      </c>
      <c r="I806" s="16">
        <v>3.6192365961381957E-2</v>
      </c>
      <c r="J806" s="15">
        <v>125.44</v>
      </c>
      <c r="K806" s="14">
        <v>1169</v>
      </c>
      <c r="L806" s="14">
        <v>471</v>
      </c>
      <c r="M806" s="15">
        <v>31.03</v>
      </c>
      <c r="N806" s="17">
        <v>443611.44</v>
      </c>
      <c r="O806" s="17">
        <v>27112.4581889029</v>
      </c>
      <c r="P806" s="17">
        <v>15074.083572250191</v>
      </c>
      <c r="Q806" s="17">
        <v>401424.89823884692</v>
      </c>
      <c r="R806" s="17">
        <v>223157.76000000001</v>
      </c>
      <c r="S806" s="17">
        <v>178267.13823884691</v>
      </c>
      <c r="T806" s="17">
        <v>14615.13</v>
      </c>
    </row>
    <row r="807" spans="1:20" x14ac:dyDescent="0.3">
      <c r="A807" s="13">
        <v>45688</v>
      </c>
      <c r="B807" s="7" t="s">
        <v>126</v>
      </c>
      <c r="C807" s="7" t="s">
        <v>27</v>
      </c>
      <c r="D807" s="7" t="s">
        <v>103</v>
      </c>
      <c r="E807" s="7" t="s">
        <v>28</v>
      </c>
      <c r="F807" s="14">
        <v>1079</v>
      </c>
      <c r="G807" s="15">
        <v>233.49</v>
      </c>
      <c r="H807" s="16">
        <v>8.3479716998016651E-2</v>
      </c>
      <c r="I807" s="16">
        <v>6.7960246845150715E-2</v>
      </c>
      <c r="J807" s="15">
        <v>127.81</v>
      </c>
      <c r="K807" s="14">
        <v>856</v>
      </c>
      <c r="L807" s="14">
        <v>269</v>
      </c>
      <c r="M807" s="15">
        <v>18.12</v>
      </c>
      <c r="N807" s="17">
        <v>251935.71</v>
      </c>
      <c r="O807" s="17">
        <v>21031.52177249439</v>
      </c>
      <c r="P807" s="17">
        <v>15692.30562952043</v>
      </c>
      <c r="Q807" s="17">
        <v>215211.88259798521</v>
      </c>
      <c r="R807" s="17">
        <v>137906.99</v>
      </c>
      <c r="S807" s="17">
        <v>77304.892597985221</v>
      </c>
      <c r="T807" s="17">
        <v>4874.2800000000007</v>
      </c>
    </row>
    <row r="808" spans="1:20" x14ac:dyDescent="0.3">
      <c r="A808" s="13">
        <v>45688</v>
      </c>
      <c r="B808" s="7" t="s">
        <v>126</v>
      </c>
      <c r="C808" s="7" t="s">
        <v>27</v>
      </c>
      <c r="D808" s="7" t="s">
        <v>103</v>
      </c>
      <c r="E808" s="7" t="s">
        <v>30</v>
      </c>
      <c r="F808" s="14">
        <v>732</v>
      </c>
      <c r="G808" s="15">
        <v>198.59</v>
      </c>
      <c r="H808" s="16">
        <v>4.3695802036281033E-2</v>
      </c>
      <c r="I808" s="16">
        <v>2.518590702824525E-2</v>
      </c>
      <c r="J808" s="15">
        <v>126.85</v>
      </c>
      <c r="K808" s="14">
        <v>61</v>
      </c>
      <c r="L808" s="14">
        <v>3</v>
      </c>
      <c r="M808" s="15">
        <v>4.78</v>
      </c>
      <c r="N808" s="17">
        <v>145367.88</v>
      </c>
      <c r="O808" s="17">
        <v>6351.9661069138574</v>
      </c>
      <c r="P808" s="17">
        <v>3501.2418827578149</v>
      </c>
      <c r="Q808" s="17">
        <v>135514.6720103283</v>
      </c>
      <c r="R808" s="17">
        <v>92854.2</v>
      </c>
      <c r="S808" s="17">
        <v>42660.472010328333</v>
      </c>
      <c r="T808" s="17">
        <v>14.34</v>
      </c>
    </row>
    <row r="809" spans="1:20" x14ac:dyDescent="0.3">
      <c r="A809" s="13">
        <v>45688</v>
      </c>
      <c r="B809" s="7" t="s">
        <v>126</v>
      </c>
      <c r="C809" s="7" t="s">
        <v>27</v>
      </c>
      <c r="D809" s="7" t="s">
        <v>104</v>
      </c>
      <c r="E809" s="7" t="s">
        <v>25</v>
      </c>
      <c r="F809" s="14">
        <v>1798</v>
      </c>
      <c r="G809" s="15">
        <v>50.76</v>
      </c>
      <c r="H809" s="16">
        <v>5.7006785581351117E-2</v>
      </c>
      <c r="I809" s="16">
        <v>4.7031401972360491E-2</v>
      </c>
      <c r="J809" s="15">
        <v>25.7</v>
      </c>
      <c r="K809" s="14">
        <v>1274</v>
      </c>
      <c r="L809" s="14">
        <v>425</v>
      </c>
      <c r="M809" s="15">
        <v>30.69</v>
      </c>
      <c r="N809" s="17">
        <v>91266.48</v>
      </c>
      <c r="O809" s="17">
        <v>5202.808656124671</v>
      </c>
      <c r="P809" s="17">
        <v>4047.695122190923</v>
      </c>
      <c r="Q809" s="17">
        <v>82015.976221684396</v>
      </c>
      <c r="R809" s="17">
        <v>46208.6</v>
      </c>
      <c r="S809" s="17">
        <v>35807.376221684397</v>
      </c>
      <c r="T809" s="17">
        <v>13043.25</v>
      </c>
    </row>
    <row r="810" spans="1:20" x14ac:dyDescent="0.3">
      <c r="A810" s="13">
        <v>45688</v>
      </c>
      <c r="B810" s="7" t="s">
        <v>126</v>
      </c>
      <c r="C810" s="7" t="s">
        <v>27</v>
      </c>
      <c r="D810" s="7" t="s">
        <v>104</v>
      </c>
      <c r="E810" s="7" t="s">
        <v>28</v>
      </c>
      <c r="F810" s="14">
        <v>602</v>
      </c>
      <c r="G810" s="15">
        <v>48.93</v>
      </c>
      <c r="H810" s="16">
        <v>7.7760244640417045E-2</v>
      </c>
      <c r="I810" s="16">
        <v>7.4369909122200289E-2</v>
      </c>
      <c r="J810" s="15">
        <v>24.38</v>
      </c>
      <c r="K810" s="14">
        <v>510</v>
      </c>
      <c r="L810" s="14">
        <v>165</v>
      </c>
      <c r="M810" s="15">
        <v>14.68</v>
      </c>
      <c r="N810" s="17">
        <v>29455.86</v>
      </c>
      <c r="O810" s="17">
        <v>2290.4948796938752</v>
      </c>
      <c r="P810" s="17">
        <v>2020.285735268556</v>
      </c>
      <c r="Q810" s="17">
        <v>25145.07938503757</v>
      </c>
      <c r="R810" s="17">
        <v>14676.76</v>
      </c>
      <c r="S810" s="17">
        <v>10468.31938503757</v>
      </c>
      <c r="T810" s="17">
        <v>2422.1999999999998</v>
      </c>
    </row>
    <row r="811" spans="1:20" x14ac:dyDescent="0.3">
      <c r="A811" s="13">
        <v>45688</v>
      </c>
      <c r="B811" s="7" t="s">
        <v>126</v>
      </c>
      <c r="C811" s="7" t="s">
        <v>27</v>
      </c>
      <c r="D811" s="7" t="s">
        <v>104</v>
      </c>
      <c r="E811" s="7" t="s">
        <v>30</v>
      </c>
      <c r="F811" s="14">
        <v>664</v>
      </c>
      <c r="G811" s="15">
        <v>42.5</v>
      </c>
      <c r="H811" s="16">
        <v>3.7851523322924088E-2</v>
      </c>
      <c r="I811" s="16">
        <v>2.6136369110406319E-2</v>
      </c>
      <c r="J811" s="15">
        <v>23.04</v>
      </c>
      <c r="K811" s="14">
        <v>58</v>
      </c>
      <c r="L811" s="14">
        <v>4</v>
      </c>
      <c r="M811" s="15">
        <v>5.39</v>
      </c>
      <c r="N811" s="17">
        <v>28220</v>
      </c>
      <c r="O811" s="17">
        <v>1068.169988172918</v>
      </c>
      <c r="P811" s="17">
        <v>709.65025121212045</v>
      </c>
      <c r="Q811" s="17">
        <v>26442.179760614959</v>
      </c>
      <c r="R811" s="17">
        <v>15298.56</v>
      </c>
      <c r="S811" s="17">
        <v>11143.61976061496</v>
      </c>
      <c r="T811" s="17">
        <v>21.56</v>
      </c>
    </row>
    <row r="812" spans="1:20" x14ac:dyDescent="0.3">
      <c r="A812" s="13">
        <v>45688</v>
      </c>
      <c r="B812" s="7" t="s">
        <v>126</v>
      </c>
      <c r="C812" s="7" t="s">
        <v>29</v>
      </c>
      <c r="D812" s="7" t="s">
        <v>102</v>
      </c>
      <c r="E812" s="7" t="s">
        <v>25</v>
      </c>
      <c r="F812" s="14">
        <v>2878</v>
      </c>
      <c r="G812" s="15">
        <v>125.63</v>
      </c>
      <c r="H812" s="16">
        <v>6.4422714807199744E-2</v>
      </c>
      <c r="I812" s="16">
        <v>2.7767797699380699E-2</v>
      </c>
      <c r="J812" s="15">
        <v>74.75</v>
      </c>
      <c r="K812" s="14">
        <v>2069</v>
      </c>
      <c r="L812" s="14">
        <v>774</v>
      </c>
      <c r="M812" s="15">
        <v>40.94</v>
      </c>
      <c r="N812" s="17">
        <v>361563.14</v>
      </c>
      <c r="O812" s="17">
        <v>23292.879053015629</v>
      </c>
      <c r="P812" s="17">
        <v>9393.0201736925828</v>
      </c>
      <c r="Q812" s="17">
        <v>328877.24077329179</v>
      </c>
      <c r="R812" s="17">
        <v>215130.5</v>
      </c>
      <c r="S812" s="17">
        <v>113746.74077329181</v>
      </c>
      <c r="T812" s="17">
        <v>31687.56</v>
      </c>
    </row>
    <row r="813" spans="1:20" x14ac:dyDescent="0.3">
      <c r="A813" s="13">
        <v>45688</v>
      </c>
      <c r="B813" s="7" t="s">
        <v>126</v>
      </c>
      <c r="C813" s="7" t="s">
        <v>29</v>
      </c>
      <c r="D813" s="7" t="s">
        <v>102</v>
      </c>
      <c r="E813" s="7" t="s">
        <v>28</v>
      </c>
      <c r="F813" s="14">
        <v>1962</v>
      </c>
      <c r="G813" s="15">
        <v>114.88</v>
      </c>
      <c r="H813" s="16">
        <v>8.0499909609025644E-2</v>
      </c>
      <c r="I813" s="16">
        <v>8.5385198586948069E-2</v>
      </c>
      <c r="J813" s="15">
        <v>71.989999999999995</v>
      </c>
      <c r="K813" s="14">
        <v>1585</v>
      </c>
      <c r="L813" s="14">
        <v>467</v>
      </c>
      <c r="M813" s="15">
        <v>9.24</v>
      </c>
      <c r="N813" s="17">
        <v>225394.56</v>
      </c>
      <c r="O813" s="17">
        <v>18144.241706366109</v>
      </c>
      <c r="P813" s="17">
        <v>17696.109584710131</v>
      </c>
      <c r="Q813" s="17">
        <v>189554.2087089238</v>
      </c>
      <c r="R813" s="17">
        <v>141244.38</v>
      </c>
      <c r="S813" s="17">
        <v>48309.8287089238</v>
      </c>
      <c r="T813" s="17">
        <v>4315.08</v>
      </c>
    </row>
    <row r="814" spans="1:20" x14ac:dyDescent="0.3">
      <c r="A814" s="13">
        <v>45688</v>
      </c>
      <c r="B814" s="7" t="s">
        <v>126</v>
      </c>
      <c r="C814" s="7" t="s">
        <v>29</v>
      </c>
      <c r="D814" s="7" t="s">
        <v>102</v>
      </c>
      <c r="E814" s="7" t="s">
        <v>30</v>
      </c>
      <c r="F814" s="14">
        <v>1424</v>
      </c>
      <c r="G814" s="15">
        <v>98.93</v>
      </c>
      <c r="H814" s="16">
        <v>4.4842278499640127E-2</v>
      </c>
      <c r="I814" s="16">
        <v>2.55984388927669E-2</v>
      </c>
      <c r="J814" s="15">
        <v>72.290000000000006</v>
      </c>
      <c r="K814" s="14">
        <v>117</v>
      </c>
      <c r="L814" s="14">
        <v>7</v>
      </c>
      <c r="M814" s="15">
        <v>4.6900000000000004</v>
      </c>
      <c r="N814" s="17">
        <v>140876.32</v>
      </c>
      <c r="O814" s="17">
        <v>6317.215175444423</v>
      </c>
      <c r="P814" s="17">
        <v>3444.5030223168019</v>
      </c>
      <c r="Q814" s="17">
        <v>131114.60180223879</v>
      </c>
      <c r="R814" s="17">
        <v>102940.96</v>
      </c>
      <c r="S814" s="17">
        <v>28173.641802238752</v>
      </c>
      <c r="T814" s="17">
        <v>32.830000000000013</v>
      </c>
    </row>
    <row r="815" spans="1:20" x14ac:dyDescent="0.3">
      <c r="A815" s="13">
        <v>45688</v>
      </c>
      <c r="B815" s="7" t="s">
        <v>126</v>
      </c>
      <c r="C815" s="7" t="s">
        <v>29</v>
      </c>
      <c r="D815" s="7" t="s">
        <v>103</v>
      </c>
      <c r="E815" s="7" t="s">
        <v>25</v>
      </c>
      <c r="F815" s="14">
        <v>1662</v>
      </c>
      <c r="G815" s="15">
        <v>226.47</v>
      </c>
      <c r="H815" s="16">
        <v>6.4140380914744194E-2</v>
      </c>
      <c r="I815" s="16">
        <v>5.5404412397766743E-2</v>
      </c>
      <c r="J815" s="15">
        <v>127.51</v>
      </c>
      <c r="K815" s="14">
        <v>1147</v>
      </c>
      <c r="L815" s="14">
        <v>415</v>
      </c>
      <c r="M815" s="15">
        <v>28.05</v>
      </c>
      <c r="N815" s="17">
        <v>376393.14</v>
      </c>
      <c r="O815" s="17">
        <v>24141.99937329664</v>
      </c>
      <c r="P815" s="17">
        <v>19516.267462865599</v>
      </c>
      <c r="Q815" s="17">
        <v>332734.87316383782</v>
      </c>
      <c r="R815" s="17">
        <v>211921.62</v>
      </c>
      <c r="S815" s="17">
        <v>120813.2531638378</v>
      </c>
      <c r="T815" s="17">
        <v>11640.75</v>
      </c>
    </row>
    <row r="816" spans="1:20" x14ac:dyDescent="0.3">
      <c r="A816" s="13">
        <v>45688</v>
      </c>
      <c r="B816" s="7" t="s">
        <v>126</v>
      </c>
      <c r="C816" s="7" t="s">
        <v>29</v>
      </c>
      <c r="D816" s="7" t="s">
        <v>103</v>
      </c>
      <c r="E816" s="7" t="s">
        <v>28</v>
      </c>
      <c r="F816" s="14">
        <v>882</v>
      </c>
      <c r="G816" s="15">
        <v>207.13</v>
      </c>
      <c r="H816" s="16">
        <v>7.618608148442961E-2</v>
      </c>
      <c r="I816" s="16">
        <v>6.4200680140461056E-2</v>
      </c>
      <c r="J816" s="15">
        <v>113.02</v>
      </c>
      <c r="K816" s="14">
        <v>707</v>
      </c>
      <c r="L816" s="14">
        <v>221</v>
      </c>
      <c r="M816" s="15">
        <v>12.33</v>
      </c>
      <c r="N816" s="17">
        <v>182688.66</v>
      </c>
      <c r="O816" s="17">
        <v>13918.33313704126</v>
      </c>
      <c r="P816" s="17">
        <v>10835.169772129881</v>
      </c>
      <c r="Q816" s="17">
        <v>157935.1570908289</v>
      </c>
      <c r="R816" s="17">
        <v>99683.64</v>
      </c>
      <c r="S816" s="17">
        <v>58251.517090828871</v>
      </c>
      <c r="T816" s="17">
        <v>2724.93</v>
      </c>
    </row>
    <row r="817" spans="1:20" x14ac:dyDescent="0.3">
      <c r="A817" s="13">
        <v>45688</v>
      </c>
      <c r="B817" s="7" t="s">
        <v>126</v>
      </c>
      <c r="C817" s="7" t="s">
        <v>29</v>
      </c>
      <c r="D817" s="7" t="s">
        <v>103</v>
      </c>
      <c r="E817" s="7" t="s">
        <v>30</v>
      </c>
      <c r="F817" s="14">
        <v>590</v>
      </c>
      <c r="G817" s="15">
        <v>175.83</v>
      </c>
      <c r="H817" s="16">
        <v>3.5092648947168972E-2</v>
      </c>
      <c r="I817" s="16">
        <v>2.1956046636186971E-2</v>
      </c>
      <c r="J817" s="15">
        <v>125.03</v>
      </c>
      <c r="K817" s="14">
        <v>49</v>
      </c>
      <c r="L817" s="14">
        <v>3</v>
      </c>
      <c r="M817" s="15">
        <v>4.99</v>
      </c>
      <c r="N817" s="17">
        <v>103739.7</v>
      </c>
      <c r="O817" s="17">
        <v>3640.5008739846248</v>
      </c>
      <c r="P817" s="17">
        <v>2197.7826842557602</v>
      </c>
      <c r="Q817" s="17">
        <v>97901.416441759633</v>
      </c>
      <c r="R817" s="17">
        <v>73767.7</v>
      </c>
      <c r="S817" s="17">
        <v>24133.71644175964</v>
      </c>
      <c r="T817" s="17">
        <v>14.97</v>
      </c>
    </row>
    <row r="818" spans="1:20" x14ac:dyDescent="0.3">
      <c r="A818" s="13">
        <v>45688</v>
      </c>
      <c r="B818" s="7" t="s">
        <v>126</v>
      </c>
      <c r="C818" s="7" t="s">
        <v>29</v>
      </c>
      <c r="D818" s="7" t="s">
        <v>104</v>
      </c>
      <c r="E818" s="7" t="s">
        <v>25</v>
      </c>
      <c r="F818" s="14">
        <v>1650</v>
      </c>
      <c r="G818" s="15">
        <v>45.34</v>
      </c>
      <c r="H818" s="16">
        <v>4.7374204585129309E-2</v>
      </c>
      <c r="I818" s="16">
        <v>3.8918610096085833E-2</v>
      </c>
      <c r="J818" s="15">
        <v>23.28</v>
      </c>
      <c r="K818" s="14">
        <v>1156</v>
      </c>
      <c r="L818" s="14">
        <v>420</v>
      </c>
      <c r="M818" s="15">
        <v>35.950000000000003</v>
      </c>
      <c r="N818" s="17">
        <v>74811</v>
      </c>
      <c r="O818" s="17">
        <v>3544.1116192181089</v>
      </c>
      <c r="P818" s="17">
        <v>2773.6082416529198</v>
      </c>
      <c r="Q818" s="17">
        <v>68493.280139128969</v>
      </c>
      <c r="R818" s="17">
        <v>38412</v>
      </c>
      <c r="S818" s="17">
        <v>30081.280139128969</v>
      </c>
      <c r="T818" s="17">
        <v>15099</v>
      </c>
    </row>
    <row r="819" spans="1:20" x14ac:dyDescent="0.3">
      <c r="A819" s="13">
        <v>45688</v>
      </c>
      <c r="B819" s="7" t="s">
        <v>126</v>
      </c>
      <c r="C819" s="7" t="s">
        <v>29</v>
      </c>
      <c r="D819" s="7" t="s">
        <v>104</v>
      </c>
      <c r="E819" s="7" t="s">
        <v>28</v>
      </c>
      <c r="F819" s="14">
        <v>784</v>
      </c>
      <c r="G819" s="15">
        <v>42.72</v>
      </c>
      <c r="H819" s="16">
        <v>0.10986639861469361</v>
      </c>
      <c r="I819" s="16">
        <v>5.9672148788368143E-2</v>
      </c>
      <c r="J819" s="15">
        <v>23.01</v>
      </c>
      <c r="K819" s="14">
        <v>645</v>
      </c>
      <c r="L819" s="14">
        <v>209</v>
      </c>
      <c r="M819" s="15">
        <v>22.78</v>
      </c>
      <c r="N819" s="17">
        <v>33492.480000000003</v>
      </c>
      <c r="O819" s="17">
        <v>3679.6981582746521</v>
      </c>
      <c r="P819" s="17">
        <v>1778.9927538545951</v>
      </c>
      <c r="Q819" s="17">
        <v>28033.789087870751</v>
      </c>
      <c r="R819" s="17">
        <v>18039.84</v>
      </c>
      <c r="S819" s="17">
        <v>9993.9490878707475</v>
      </c>
      <c r="T819" s="17">
        <v>4761.0200000000004</v>
      </c>
    </row>
    <row r="820" spans="1:20" x14ac:dyDescent="0.3">
      <c r="A820" s="13">
        <v>45688</v>
      </c>
      <c r="B820" s="7" t="s">
        <v>126</v>
      </c>
      <c r="C820" s="7" t="s">
        <v>29</v>
      </c>
      <c r="D820" s="7" t="s">
        <v>104</v>
      </c>
      <c r="E820" s="7" t="s">
        <v>30</v>
      </c>
      <c r="F820" s="14">
        <v>470</v>
      </c>
      <c r="G820" s="15">
        <v>37.32</v>
      </c>
      <c r="H820" s="16">
        <v>3.2074646304963032E-2</v>
      </c>
      <c r="I820" s="16">
        <v>3.0715035272924549E-2</v>
      </c>
      <c r="J820" s="15">
        <v>22.21</v>
      </c>
      <c r="K820" s="14">
        <v>40</v>
      </c>
      <c r="L820" s="14">
        <v>3</v>
      </c>
      <c r="M820" s="15">
        <v>5.14</v>
      </c>
      <c r="N820" s="17">
        <v>17540.400000000001</v>
      </c>
      <c r="O820" s="17">
        <v>562.60212604757362</v>
      </c>
      <c r="P820" s="17">
        <v>521.47366055503221</v>
      </c>
      <c r="Q820" s="17">
        <v>16456.324213397391</v>
      </c>
      <c r="R820" s="17">
        <v>10438.700000000001</v>
      </c>
      <c r="S820" s="17">
        <v>6017.6242133973938</v>
      </c>
      <c r="T820" s="17">
        <v>15.42</v>
      </c>
    </row>
    <row r="821" spans="1:20" x14ac:dyDescent="0.3">
      <c r="A821" s="13">
        <v>45688</v>
      </c>
      <c r="B821" s="7" t="s">
        <v>126</v>
      </c>
      <c r="C821" s="7" t="s">
        <v>31</v>
      </c>
      <c r="D821" s="7" t="s">
        <v>102</v>
      </c>
      <c r="E821" s="7" t="s">
        <v>25</v>
      </c>
      <c r="F821" s="14">
        <v>2062</v>
      </c>
      <c r="G821" s="15">
        <v>113.51</v>
      </c>
      <c r="H821" s="16">
        <v>4.3862312418788497E-2</v>
      </c>
      <c r="I821" s="16">
        <v>3.7120939231320788E-2</v>
      </c>
      <c r="J821" s="15">
        <v>70</v>
      </c>
      <c r="K821" s="14">
        <v>1387</v>
      </c>
      <c r="L821" s="14">
        <v>495</v>
      </c>
      <c r="M821" s="15">
        <v>30.45</v>
      </c>
      <c r="N821" s="17">
        <v>234057.62</v>
      </c>
      <c r="O821" s="17">
        <v>10266.308452438079</v>
      </c>
      <c r="P821" s="17">
        <v>8307.3436764546277</v>
      </c>
      <c r="Q821" s="17">
        <v>215483.96787110731</v>
      </c>
      <c r="R821" s="17">
        <v>144340</v>
      </c>
      <c r="S821" s="17">
        <v>71143.967871107336</v>
      </c>
      <c r="T821" s="17">
        <v>15072.75</v>
      </c>
    </row>
    <row r="822" spans="1:20" x14ac:dyDescent="0.3">
      <c r="A822" s="13">
        <v>45688</v>
      </c>
      <c r="B822" s="7" t="s">
        <v>126</v>
      </c>
      <c r="C822" s="7" t="s">
        <v>31</v>
      </c>
      <c r="D822" s="7" t="s">
        <v>102</v>
      </c>
      <c r="E822" s="7" t="s">
        <v>28</v>
      </c>
      <c r="F822" s="14">
        <v>576</v>
      </c>
      <c r="G822" s="15">
        <v>109.82</v>
      </c>
      <c r="H822" s="16">
        <v>8.6489510622563992E-2</v>
      </c>
      <c r="I822" s="16">
        <v>4.679982027463854E-2</v>
      </c>
      <c r="J822" s="15">
        <v>70.05</v>
      </c>
      <c r="K822" s="14">
        <v>511</v>
      </c>
      <c r="L822" s="14">
        <v>154</v>
      </c>
      <c r="M822" s="15">
        <v>17.3</v>
      </c>
      <c r="N822" s="17">
        <v>63256.319999999992</v>
      </c>
      <c r="O822" s="17">
        <v>5471.0081605843061</v>
      </c>
      <c r="P822" s="17">
        <v>2704.3422085985972</v>
      </c>
      <c r="Q822" s="17">
        <v>55080.96963081709</v>
      </c>
      <c r="R822" s="17">
        <v>40348.800000000003</v>
      </c>
      <c r="S822" s="17">
        <v>14732.16963081709</v>
      </c>
      <c r="T822" s="17">
        <v>2664.2</v>
      </c>
    </row>
    <row r="823" spans="1:20" x14ac:dyDescent="0.3">
      <c r="A823" s="13">
        <v>45688</v>
      </c>
      <c r="B823" s="7" t="s">
        <v>126</v>
      </c>
      <c r="C823" s="7" t="s">
        <v>31</v>
      </c>
      <c r="D823" s="7" t="s">
        <v>102</v>
      </c>
      <c r="E823" s="7" t="s">
        <v>30</v>
      </c>
      <c r="F823" s="14">
        <v>493</v>
      </c>
      <c r="G823" s="15">
        <v>88.24</v>
      </c>
      <c r="H823" s="16">
        <v>4.7968996323743997E-2</v>
      </c>
      <c r="I823" s="16">
        <v>1.7478509920936889E-2</v>
      </c>
      <c r="J823" s="15">
        <v>68.22</v>
      </c>
      <c r="K823" s="14">
        <v>43</v>
      </c>
      <c r="L823" s="14">
        <v>2</v>
      </c>
      <c r="M823" s="15">
        <v>3.41</v>
      </c>
      <c r="N823" s="17">
        <v>43502.32</v>
      </c>
      <c r="O823" s="17">
        <v>2086.7626281543348</v>
      </c>
      <c r="P823" s="17">
        <v>723.88223040493517</v>
      </c>
      <c r="Q823" s="17">
        <v>40691.675141440734</v>
      </c>
      <c r="R823" s="17">
        <v>33632.46</v>
      </c>
      <c r="S823" s="17">
        <v>7059.2151414407344</v>
      </c>
      <c r="T823" s="17">
        <v>6.82</v>
      </c>
    </row>
    <row r="824" spans="1:20" x14ac:dyDescent="0.3">
      <c r="A824" s="13">
        <v>45688</v>
      </c>
      <c r="B824" s="7" t="s">
        <v>126</v>
      </c>
      <c r="C824" s="7" t="s">
        <v>31</v>
      </c>
      <c r="D824" s="7" t="s">
        <v>103</v>
      </c>
      <c r="E824" s="7" t="s">
        <v>25</v>
      </c>
      <c r="F824" s="14">
        <v>1041</v>
      </c>
      <c r="G824" s="15">
        <v>211.51</v>
      </c>
      <c r="H824" s="16">
        <v>6.3795452397027871E-2</v>
      </c>
      <c r="I824" s="16">
        <v>3.9403456880078083E-2</v>
      </c>
      <c r="J824" s="15">
        <v>113.04</v>
      </c>
      <c r="K824" s="14">
        <v>681</v>
      </c>
      <c r="L824" s="14">
        <v>260</v>
      </c>
      <c r="M824" s="15">
        <v>27.34</v>
      </c>
      <c r="N824" s="17">
        <v>220181.91</v>
      </c>
      <c r="O824" s="17">
        <v>14046.60455809168</v>
      </c>
      <c r="P824" s="17">
        <v>8122.4436194419604</v>
      </c>
      <c r="Q824" s="17">
        <v>198012.8618224664</v>
      </c>
      <c r="R824" s="17">
        <v>117674.64</v>
      </c>
      <c r="S824" s="17">
        <v>80338.221822466367</v>
      </c>
      <c r="T824" s="17">
        <v>7108.4</v>
      </c>
    </row>
    <row r="825" spans="1:20" x14ac:dyDescent="0.3">
      <c r="A825" s="13">
        <v>45688</v>
      </c>
      <c r="B825" s="7" t="s">
        <v>126</v>
      </c>
      <c r="C825" s="7" t="s">
        <v>31</v>
      </c>
      <c r="D825" s="7" t="s">
        <v>103</v>
      </c>
      <c r="E825" s="7" t="s">
        <v>28</v>
      </c>
      <c r="F825" s="14">
        <v>358</v>
      </c>
      <c r="G825" s="15">
        <v>197.69</v>
      </c>
      <c r="H825" s="16">
        <v>0.1029937889583014</v>
      </c>
      <c r="I825" s="16">
        <v>4.1607309632809737E-2</v>
      </c>
      <c r="J825" s="15">
        <v>126.97</v>
      </c>
      <c r="K825" s="14">
        <v>289</v>
      </c>
      <c r="L825" s="14">
        <v>88</v>
      </c>
      <c r="M825" s="15">
        <v>20.49</v>
      </c>
      <c r="N825" s="17">
        <v>70773.02</v>
      </c>
      <c r="O825" s="17">
        <v>7289.1814858216421</v>
      </c>
      <c r="P825" s="17">
        <v>2641.391725738712</v>
      </c>
      <c r="Q825" s="17">
        <v>60842.446788439651</v>
      </c>
      <c r="R825" s="17">
        <v>45455.26</v>
      </c>
      <c r="S825" s="17">
        <v>15387.186788439651</v>
      </c>
      <c r="T825" s="17">
        <v>1803.12</v>
      </c>
    </row>
    <row r="826" spans="1:20" x14ac:dyDescent="0.3">
      <c r="A826" s="13">
        <v>45688</v>
      </c>
      <c r="B826" s="7" t="s">
        <v>126</v>
      </c>
      <c r="C826" s="7" t="s">
        <v>31</v>
      </c>
      <c r="D826" s="7" t="s">
        <v>103</v>
      </c>
      <c r="E826" s="7" t="s">
        <v>30</v>
      </c>
      <c r="F826" s="14">
        <v>277</v>
      </c>
      <c r="G826" s="15">
        <v>163.47</v>
      </c>
      <c r="H826" s="16">
        <v>3.8648424145051881E-2</v>
      </c>
      <c r="I826" s="16">
        <v>8.1078417006333579E-3</v>
      </c>
      <c r="J826" s="15">
        <v>119.81</v>
      </c>
      <c r="K826" s="14">
        <v>24</v>
      </c>
      <c r="L826" s="14">
        <v>2</v>
      </c>
      <c r="M826" s="15">
        <v>5.33</v>
      </c>
      <c r="N826" s="17">
        <v>45281.19</v>
      </c>
      <c r="O826" s="17">
        <v>1750.0466369126821</v>
      </c>
      <c r="P826" s="17">
        <v>352.94361943548842</v>
      </c>
      <c r="Q826" s="17">
        <v>43178.199743651843</v>
      </c>
      <c r="R826" s="17">
        <v>33187.370000000003</v>
      </c>
      <c r="S826" s="17">
        <v>9990.8297436518333</v>
      </c>
      <c r="T826" s="17">
        <v>10.66</v>
      </c>
    </row>
    <row r="827" spans="1:20" x14ac:dyDescent="0.3">
      <c r="A827" s="13">
        <v>45688</v>
      </c>
      <c r="B827" s="7" t="s">
        <v>126</v>
      </c>
      <c r="C827" s="7" t="s">
        <v>31</v>
      </c>
      <c r="D827" s="7" t="s">
        <v>104</v>
      </c>
      <c r="E827" s="7" t="s">
        <v>25</v>
      </c>
      <c r="F827" s="14">
        <v>605</v>
      </c>
      <c r="G827" s="15">
        <v>42.69</v>
      </c>
      <c r="H827" s="16">
        <v>7.3098910355237925E-2</v>
      </c>
      <c r="I827" s="16">
        <v>3.4089815442665677E-2</v>
      </c>
      <c r="J827" s="15">
        <v>22.13</v>
      </c>
      <c r="K827" s="14">
        <v>406</v>
      </c>
      <c r="L827" s="14">
        <v>135</v>
      </c>
      <c r="M827" s="15">
        <v>22.97</v>
      </c>
      <c r="N827" s="17">
        <v>25827.45</v>
      </c>
      <c r="O827" s="17">
        <v>1887.9584522543901</v>
      </c>
      <c r="P827" s="17">
        <v>816.09284865390293</v>
      </c>
      <c r="Q827" s="17">
        <v>23123.398699091711</v>
      </c>
      <c r="R827" s="17">
        <v>13388.65</v>
      </c>
      <c r="S827" s="17">
        <v>9734.7486990917077</v>
      </c>
      <c r="T827" s="17">
        <v>3100.95</v>
      </c>
    </row>
    <row r="828" spans="1:20" x14ac:dyDescent="0.3">
      <c r="A828" s="13">
        <v>45688</v>
      </c>
      <c r="B828" s="7" t="s">
        <v>126</v>
      </c>
      <c r="C828" s="7" t="s">
        <v>31</v>
      </c>
      <c r="D828" s="7" t="s">
        <v>104</v>
      </c>
      <c r="E828" s="7" t="s">
        <v>28</v>
      </c>
      <c r="F828" s="14">
        <v>300</v>
      </c>
      <c r="G828" s="15">
        <v>39</v>
      </c>
      <c r="H828" s="16">
        <v>8.4686243642554365E-2</v>
      </c>
      <c r="I828" s="16">
        <v>6.5736499735388018E-2</v>
      </c>
      <c r="J828" s="15">
        <v>20.98</v>
      </c>
      <c r="K828" s="14">
        <v>246</v>
      </c>
      <c r="L828" s="14">
        <v>70</v>
      </c>
      <c r="M828" s="15">
        <v>16.71</v>
      </c>
      <c r="N828" s="17">
        <v>11700</v>
      </c>
      <c r="O828" s="17">
        <v>990.82905061788608</v>
      </c>
      <c r="P828" s="17">
        <v>703.98341328028243</v>
      </c>
      <c r="Q828" s="17">
        <v>10005.18753610183</v>
      </c>
      <c r="R828" s="17">
        <v>6294</v>
      </c>
      <c r="S828" s="17">
        <v>3711.1875361018319</v>
      </c>
      <c r="T828" s="17">
        <v>1169.7</v>
      </c>
    </row>
    <row r="829" spans="1:20" x14ac:dyDescent="0.3">
      <c r="A829" s="13">
        <v>45688</v>
      </c>
      <c r="B829" s="7" t="s">
        <v>126</v>
      </c>
      <c r="C829" s="7" t="s">
        <v>31</v>
      </c>
      <c r="D829" s="7" t="s">
        <v>104</v>
      </c>
      <c r="E829" s="7" t="s">
        <v>30</v>
      </c>
      <c r="F829" s="14">
        <v>220</v>
      </c>
      <c r="G829" s="15">
        <v>33.94</v>
      </c>
      <c r="H829" s="16">
        <v>3.5983378518199063E-2</v>
      </c>
      <c r="I829" s="16">
        <v>1.5108460250887509E-2</v>
      </c>
      <c r="J829" s="15">
        <v>23.02</v>
      </c>
      <c r="K829" s="14">
        <v>18</v>
      </c>
      <c r="L829" s="14">
        <v>1</v>
      </c>
      <c r="M829" s="15">
        <v>5.5</v>
      </c>
      <c r="N829" s="17">
        <v>7466.7999999999993</v>
      </c>
      <c r="O829" s="17">
        <v>268.6806907196887</v>
      </c>
      <c r="P829" s="17">
        <v>108.7524994654074</v>
      </c>
      <c r="Q829" s="17">
        <v>7089.3668098149028</v>
      </c>
      <c r="R829" s="17">
        <v>5064.3999999999996</v>
      </c>
      <c r="S829" s="17">
        <v>2024.9668098149029</v>
      </c>
      <c r="T829" s="17">
        <v>5.5</v>
      </c>
    </row>
    <row r="830" spans="1:20" x14ac:dyDescent="0.3">
      <c r="A830" s="13">
        <v>45716</v>
      </c>
      <c r="B830" s="7" t="s">
        <v>127</v>
      </c>
      <c r="C830" s="7" t="s">
        <v>24</v>
      </c>
      <c r="D830" s="7" t="s">
        <v>102</v>
      </c>
      <c r="E830" s="7" t="s">
        <v>25</v>
      </c>
      <c r="F830" s="14">
        <v>8918</v>
      </c>
      <c r="G830" s="15">
        <v>127.45</v>
      </c>
      <c r="H830" s="16">
        <v>5.325525611738724E-2</v>
      </c>
      <c r="I830" s="16">
        <v>4.3377660990546012E-2</v>
      </c>
      <c r="J830" s="15">
        <v>72.09</v>
      </c>
      <c r="K830" s="14">
        <v>6200</v>
      </c>
      <c r="L830" s="14">
        <v>2392</v>
      </c>
      <c r="M830" s="15">
        <v>42.46</v>
      </c>
      <c r="N830" s="17">
        <v>1136599.1000000001</v>
      </c>
      <c r="O830" s="17">
        <v>60529.876173291843</v>
      </c>
      <c r="P830" s="17">
        <v>46677.365993514934</v>
      </c>
      <c r="Q830" s="17">
        <v>1029391.857833193</v>
      </c>
      <c r="R830" s="17">
        <v>642898.62</v>
      </c>
      <c r="S830" s="17">
        <v>386493.23783319339</v>
      </c>
      <c r="T830" s="17">
        <v>101564.32</v>
      </c>
    </row>
    <row r="831" spans="1:20" x14ac:dyDescent="0.3">
      <c r="A831" s="13">
        <v>45716</v>
      </c>
      <c r="B831" s="7" t="s">
        <v>127</v>
      </c>
      <c r="C831" s="7" t="s">
        <v>24</v>
      </c>
      <c r="D831" s="7" t="s">
        <v>102</v>
      </c>
      <c r="E831" s="7" t="s">
        <v>28</v>
      </c>
      <c r="F831" s="14">
        <v>2643</v>
      </c>
      <c r="G831" s="15">
        <v>121.75</v>
      </c>
      <c r="H831" s="16">
        <v>0.10124762984949739</v>
      </c>
      <c r="I831" s="16">
        <v>5.0546260574933458E-2</v>
      </c>
      <c r="J831" s="15">
        <v>75.19</v>
      </c>
      <c r="K831" s="14">
        <v>2338</v>
      </c>
      <c r="L831" s="14">
        <v>697</v>
      </c>
      <c r="M831" s="15">
        <v>9.23</v>
      </c>
      <c r="N831" s="17">
        <v>321785.25</v>
      </c>
      <c r="O831" s="17">
        <v>32579.993883027972</v>
      </c>
      <c r="P831" s="17">
        <v>14618.244235328841</v>
      </c>
      <c r="Q831" s="17">
        <v>274587.01188164321</v>
      </c>
      <c r="R831" s="17">
        <v>198727.17</v>
      </c>
      <c r="S831" s="17">
        <v>75859.841881643224</v>
      </c>
      <c r="T831" s="17">
        <v>6433.31</v>
      </c>
    </row>
    <row r="832" spans="1:20" x14ac:dyDescent="0.3">
      <c r="A832" s="13">
        <v>45716</v>
      </c>
      <c r="B832" s="7" t="s">
        <v>127</v>
      </c>
      <c r="C832" s="7" t="s">
        <v>24</v>
      </c>
      <c r="D832" s="7" t="s">
        <v>102</v>
      </c>
      <c r="E832" s="7" t="s">
        <v>30</v>
      </c>
      <c r="F832" s="14">
        <v>2334</v>
      </c>
      <c r="G832" s="15">
        <v>104.85</v>
      </c>
      <c r="H832" s="16">
        <v>4.2314499809090168E-2</v>
      </c>
      <c r="I832" s="16">
        <v>2.3513299992496531E-2</v>
      </c>
      <c r="J832" s="15">
        <v>73.819999999999993</v>
      </c>
      <c r="K832" s="14">
        <v>187</v>
      </c>
      <c r="L832" s="14">
        <v>10</v>
      </c>
      <c r="M832" s="15">
        <v>4.4000000000000004</v>
      </c>
      <c r="N832" s="17">
        <v>244719.9</v>
      </c>
      <c r="O832" s="17">
        <v>10355.20016183056</v>
      </c>
      <c r="P832" s="17">
        <v>5510.6874949462808</v>
      </c>
      <c r="Q832" s="17">
        <v>228854.01234322309</v>
      </c>
      <c r="R832" s="17">
        <v>172295.88</v>
      </c>
      <c r="S832" s="17">
        <v>56558.132343223173</v>
      </c>
      <c r="T832" s="17">
        <v>44</v>
      </c>
    </row>
    <row r="833" spans="1:20" x14ac:dyDescent="0.3">
      <c r="A833" s="13">
        <v>45716</v>
      </c>
      <c r="B833" s="7" t="s">
        <v>127</v>
      </c>
      <c r="C833" s="7" t="s">
        <v>24</v>
      </c>
      <c r="D833" s="7" t="s">
        <v>103</v>
      </c>
      <c r="E833" s="7" t="s">
        <v>25</v>
      </c>
      <c r="F833" s="14">
        <v>3550</v>
      </c>
      <c r="G833" s="15">
        <v>240.27</v>
      </c>
      <c r="H833" s="16">
        <v>6.0274287725285661E-2</v>
      </c>
      <c r="I833" s="16">
        <v>3.1027469938387429E-2</v>
      </c>
      <c r="J833" s="15">
        <v>123.18</v>
      </c>
      <c r="K833" s="14">
        <v>2460</v>
      </c>
      <c r="L833" s="14">
        <v>987</v>
      </c>
      <c r="M833" s="15">
        <v>28.83</v>
      </c>
      <c r="N833" s="17">
        <v>852958.5</v>
      </c>
      <c r="O833" s="17">
        <v>51411.46604672807</v>
      </c>
      <c r="P833" s="17">
        <v>24869.97650018875</v>
      </c>
      <c r="Q833" s="17">
        <v>776677.05745308322</v>
      </c>
      <c r="R833" s="17">
        <v>437289</v>
      </c>
      <c r="S833" s="17">
        <v>339388.05745308322</v>
      </c>
      <c r="T833" s="17">
        <v>28455.21</v>
      </c>
    </row>
    <row r="834" spans="1:20" x14ac:dyDescent="0.3">
      <c r="A834" s="13">
        <v>45716</v>
      </c>
      <c r="B834" s="7" t="s">
        <v>127</v>
      </c>
      <c r="C834" s="7" t="s">
        <v>24</v>
      </c>
      <c r="D834" s="7" t="s">
        <v>103</v>
      </c>
      <c r="E834" s="7" t="s">
        <v>28</v>
      </c>
      <c r="F834" s="14">
        <v>1427</v>
      </c>
      <c r="G834" s="15">
        <v>221.27</v>
      </c>
      <c r="H834" s="16">
        <v>9.0217684636656373E-2</v>
      </c>
      <c r="I834" s="16">
        <v>6.2149594575000057E-2</v>
      </c>
      <c r="J834" s="15">
        <v>123.7</v>
      </c>
      <c r="K834" s="14">
        <v>1202</v>
      </c>
      <c r="L834" s="14">
        <v>376</v>
      </c>
      <c r="M834" s="15">
        <v>15</v>
      </c>
      <c r="N834" s="17">
        <v>315752.28999999998</v>
      </c>
      <c r="O834" s="17">
        <v>28486.440522522069</v>
      </c>
      <c r="P834" s="17">
        <v>17853.45608026825</v>
      </c>
      <c r="Q834" s="17">
        <v>269412.3933972097</v>
      </c>
      <c r="R834" s="17">
        <v>176519.9</v>
      </c>
      <c r="S834" s="17">
        <v>92892.493397209706</v>
      </c>
      <c r="T834" s="17">
        <v>5640</v>
      </c>
    </row>
    <row r="835" spans="1:20" x14ac:dyDescent="0.3">
      <c r="A835" s="13">
        <v>45716</v>
      </c>
      <c r="B835" s="7" t="s">
        <v>127</v>
      </c>
      <c r="C835" s="7" t="s">
        <v>24</v>
      </c>
      <c r="D835" s="7" t="s">
        <v>103</v>
      </c>
      <c r="E835" s="7" t="s">
        <v>30</v>
      </c>
      <c r="F835" s="14">
        <v>881</v>
      </c>
      <c r="G835" s="15">
        <v>189.87</v>
      </c>
      <c r="H835" s="16">
        <v>3.8573157775444372E-2</v>
      </c>
      <c r="I835" s="16">
        <v>2.2332156437061591E-2</v>
      </c>
      <c r="J835" s="15">
        <v>127.61</v>
      </c>
      <c r="K835" s="14">
        <v>71</v>
      </c>
      <c r="L835" s="14">
        <v>4</v>
      </c>
      <c r="M835" s="15">
        <v>4.03</v>
      </c>
      <c r="N835" s="17">
        <v>167275.47</v>
      </c>
      <c r="O835" s="17">
        <v>6452.3430962716111</v>
      </c>
      <c r="P835" s="17">
        <v>3591.5272287114699</v>
      </c>
      <c r="Q835" s="17">
        <v>157231.59967501691</v>
      </c>
      <c r="R835" s="17">
        <v>112424.41</v>
      </c>
      <c r="S835" s="17">
        <v>44807.189675016911</v>
      </c>
      <c r="T835" s="17">
        <v>16.12</v>
      </c>
    </row>
    <row r="836" spans="1:20" x14ac:dyDescent="0.3">
      <c r="A836" s="13">
        <v>45716</v>
      </c>
      <c r="B836" s="7" t="s">
        <v>127</v>
      </c>
      <c r="C836" s="7" t="s">
        <v>24</v>
      </c>
      <c r="D836" s="7" t="s">
        <v>104</v>
      </c>
      <c r="E836" s="7" t="s">
        <v>25</v>
      </c>
      <c r="F836" s="14">
        <v>3180</v>
      </c>
      <c r="G836" s="15">
        <v>47.22</v>
      </c>
      <c r="H836" s="16">
        <v>7.0719816148315726E-2</v>
      </c>
      <c r="I836" s="16">
        <v>3.8531464787446991E-2</v>
      </c>
      <c r="J836" s="15">
        <v>21.5</v>
      </c>
      <c r="K836" s="14">
        <v>2292</v>
      </c>
      <c r="L836" s="14">
        <v>812</v>
      </c>
      <c r="M836" s="15">
        <v>23.94</v>
      </c>
      <c r="N836" s="17">
        <v>150159.6</v>
      </c>
      <c r="O836" s="17">
        <v>10619.25930490463</v>
      </c>
      <c r="P836" s="17">
        <v>5376.693723921423</v>
      </c>
      <c r="Q836" s="17">
        <v>134163.6469711739</v>
      </c>
      <c r="R836" s="17">
        <v>68370</v>
      </c>
      <c r="S836" s="17">
        <v>65793.646971173934</v>
      </c>
      <c r="T836" s="17">
        <v>19439.28</v>
      </c>
    </row>
    <row r="837" spans="1:20" x14ac:dyDescent="0.3">
      <c r="A837" s="13">
        <v>45716</v>
      </c>
      <c r="B837" s="7" t="s">
        <v>127</v>
      </c>
      <c r="C837" s="7" t="s">
        <v>24</v>
      </c>
      <c r="D837" s="7" t="s">
        <v>104</v>
      </c>
      <c r="E837" s="7" t="s">
        <v>28</v>
      </c>
      <c r="F837" s="14">
        <v>1155</v>
      </c>
      <c r="G837" s="15">
        <v>45.35</v>
      </c>
      <c r="H837" s="16">
        <v>0.10974043715446891</v>
      </c>
      <c r="I837" s="16">
        <v>5.5643191256583159E-2</v>
      </c>
      <c r="J837" s="15">
        <v>23.78</v>
      </c>
      <c r="K837" s="14">
        <v>918</v>
      </c>
      <c r="L837" s="14">
        <v>269</v>
      </c>
      <c r="M837" s="15">
        <v>22.63</v>
      </c>
      <c r="N837" s="17">
        <v>52379.25</v>
      </c>
      <c r="O837" s="17">
        <v>5748.1217928232127</v>
      </c>
      <c r="P837" s="17">
        <v>2594.7047853421882</v>
      </c>
      <c r="Q837" s="17">
        <v>44036.423421834603</v>
      </c>
      <c r="R837" s="17">
        <v>27465.9</v>
      </c>
      <c r="S837" s="17">
        <v>16570.52342183459</v>
      </c>
      <c r="T837" s="17">
        <v>6087.4699999999993</v>
      </c>
    </row>
    <row r="838" spans="1:20" x14ac:dyDescent="0.3">
      <c r="A838" s="13">
        <v>45716</v>
      </c>
      <c r="B838" s="7" t="s">
        <v>127</v>
      </c>
      <c r="C838" s="7" t="s">
        <v>24</v>
      </c>
      <c r="D838" s="7" t="s">
        <v>104</v>
      </c>
      <c r="E838" s="7" t="s">
        <v>30</v>
      </c>
      <c r="F838" s="14">
        <v>1251</v>
      </c>
      <c r="G838" s="15">
        <v>39.99</v>
      </c>
      <c r="H838" s="16">
        <v>4.6290399326881247E-2</v>
      </c>
      <c r="I838" s="16">
        <v>1.9594664472822911E-2</v>
      </c>
      <c r="J838" s="15">
        <v>24.24</v>
      </c>
      <c r="K838" s="14">
        <v>105</v>
      </c>
      <c r="L838" s="14">
        <v>6</v>
      </c>
      <c r="M838" s="15">
        <v>5.77</v>
      </c>
      <c r="N838" s="17">
        <v>50027.490000000013</v>
      </c>
      <c r="O838" s="17">
        <v>2315.792489421558</v>
      </c>
      <c r="P838" s="17">
        <v>934.89470414860489</v>
      </c>
      <c r="Q838" s="17">
        <v>46776.802806429841</v>
      </c>
      <c r="R838" s="17">
        <v>30324.240000000002</v>
      </c>
      <c r="S838" s="17">
        <v>16452.56280642984</v>
      </c>
      <c r="T838" s="17">
        <v>34.619999999999997</v>
      </c>
    </row>
    <row r="839" spans="1:20" x14ac:dyDescent="0.3">
      <c r="A839" s="13">
        <v>45716</v>
      </c>
      <c r="B839" s="7" t="s">
        <v>127</v>
      </c>
      <c r="C839" s="7" t="s">
        <v>27</v>
      </c>
      <c r="D839" s="7" t="s">
        <v>102</v>
      </c>
      <c r="E839" s="7" t="s">
        <v>25</v>
      </c>
      <c r="F839" s="14">
        <v>5667</v>
      </c>
      <c r="G839" s="15">
        <v>130.19</v>
      </c>
      <c r="H839" s="16">
        <v>5.5507749436766708E-2</v>
      </c>
      <c r="I839" s="16">
        <v>5.1971680272478532E-2</v>
      </c>
      <c r="J839" s="15">
        <v>74.38</v>
      </c>
      <c r="K839" s="14">
        <v>4078</v>
      </c>
      <c r="L839" s="14">
        <v>1581</v>
      </c>
      <c r="M839" s="15">
        <v>30.71</v>
      </c>
      <c r="N839" s="17">
        <v>737786.73</v>
      </c>
      <c r="O839" s="17">
        <v>40952.880946611447</v>
      </c>
      <c r="P839" s="17">
        <v>36215.626006043283</v>
      </c>
      <c r="Q839" s="17">
        <v>660618.22304734529</v>
      </c>
      <c r="R839" s="17">
        <v>421511.46</v>
      </c>
      <c r="S839" s="17">
        <v>239106.7630473453</v>
      </c>
      <c r="T839" s="17">
        <v>48552.51</v>
      </c>
    </row>
    <row r="840" spans="1:20" x14ac:dyDescent="0.3">
      <c r="A840" s="13">
        <v>45716</v>
      </c>
      <c r="B840" s="7" t="s">
        <v>127</v>
      </c>
      <c r="C840" s="7" t="s">
        <v>27</v>
      </c>
      <c r="D840" s="7" t="s">
        <v>102</v>
      </c>
      <c r="E840" s="7" t="s">
        <v>28</v>
      </c>
      <c r="F840" s="14">
        <v>1927</v>
      </c>
      <c r="G840" s="15">
        <v>127.63</v>
      </c>
      <c r="H840" s="16">
        <v>9.1988523005252634E-2</v>
      </c>
      <c r="I840" s="16">
        <v>4.9792589283539281E-2</v>
      </c>
      <c r="J840" s="15">
        <v>77.63</v>
      </c>
      <c r="K840" s="14">
        <v>1720</v>
      </c>
      <c r="L840" s="14">
        <v>568</v>
      </c>
      <c r="M840" s="15">
        <v>19.649999999999999</v>
      </c>
      <c r="N840" s="17">
        <v>245943.01</v>
      </c>
      <c r="O840" s="17">
        <v>22623.934233366079</v>
      </c>
      <c r="P840" s="17">
        <v>11119.63501882759</v>
      </c>
      <c r="Q840" s="17">
        <v>212199.44074780631</v>
      </c>
      <c r="R840" s="17">
        <v>149593.01</v>
      </c>
      <c r="S840" s="17">
        <v>62606.430747806327</v>
      </c>
      <c r="T840" s="17">
        <v>11161.2</v>
      </c>
    </row>
    <row r="841" spans="1:20" x14ac:dyDescent="0.3">
      <c r="A841" s="13">
        <v>45716</v>
      </c>
      <c r="B841" s="7" t="s">
        <v>127</v>
      </c>
      <c r="C841" s="7" t="s">
        <v>27</v>
      </c>
      <c r="D841" s="7" t="s">
        <v>102</v>
      </c>
      <c r="E841" s="7" t="s">
        <v>30</v>
      </c>
      <c r="F841" s="14">
        <v>2153</v>
      </c>
      <c r="G841" s="15">
        <v>110.93</v>
      </c>
      <c r="H841" s="16">
        <v>2.973637987338091E-2</v>
      </c>
      <c r="I841" s="16">
        <v>1.8034548996492691E-2</v>
      </c>
      <c r="J841" s="15">
        <v>72.64</v>
      </c>
      <c r="K841" s="14">
        <v>182</v>
      </c>
      <c r="L841" s="14">
        <v>13</v>
      </c>
      <c r="M841" s="15">
        <v>3.66</v>
      </c>
      <c r="N841" s="17">
        <v>238832.29</v>
      </c>
      <c r="O841" s="17">
        <v>7102.0077014694734</v>
      </c>
      <c r="P841" s="17">
        <v>4179.151130083932</v>
      </c>
      <c r="Q841" s="17">
        <v>227551.13116844659</v>
      </c>
      <c r="R841" s="17">
        <v>156393.92000000001</v>
      </c>
      <c r="S841" s="17">
        <v>71157.211168446607</v>
      </c>
      <c r="T841" s="17">
        <v>47.58</v>
      </c>
    </row>
    <row r="842" spans="1:20" x14ac:dyDescent="0.3">
      <c r="A842" s="13">
        <v>45716</v>
      </c>
      <c r="B842" s="7" t="s">
        <v>127</v>
      </c>
      <c r="C842" s="7" t="s">
        <v>27</v>
      </c>
      <c r="D842" s="7" t="s">
        <v>103</v>
      </c>
      <c r="E842" s="7" t="s">
        <v>25</v>
      </c>
      <c r="F842" s="14">
        <v>1942</v>
      </c>
      <c r="G842" s="15">
        <v>257.83999999999997</v>
      </c>
      <c r="H842" s="16">
        <v>5.5444298450231973E-2</v>
      </c>
      <c r="I842" s="16">
        <v>3.8204854251275198E-2</v>
      </c>
      <c r="J842" s="15">
        <v>134.16999999999999</v>
      </c>
      <c r="K842" s="14">
        <v>1290</v>
      </c>
      <c r="L842" s="14">
        <v>462</v>
      </c>
      <c r="M842" s="15">
        <v>27.59</v>
      </c>
      <c r="N842" s="17">
        <v>500725.28</v>
      </c>
      <c r="O842" s="17">
        <v>27762.361865895971</v>
      </c>
      <c r="P842" s="17">
        <v>18069.479353571249</v>
      </c>
      <c r="Q842" s="17">
        <v>454893.43878053268</v>
      </c>
      <c r="R842" s="17">
        <v>260558.14</v>
      </c>
      <c r="S842" s="17">
        <v>194335.29878053279</v>
      </c>
      <c r="T842" s="17">
        <v>12746.58</v>
      </c>
    </row>
    <row r="843" spans="1:20" x14ac:dyDescent="0.3">
      <c r="A843" s="13">
        <v>45716</v>
      </c>
      <c r="B843" s="7" t="s">
        <v>127</v>
      </c>
      <c r="C843" s="7" t="s">
        <v>27</v>
      </c>
      <c r="D843" s="7" t="s">
        <v>103</v>
      </c>
      <c r="E843" s="7" t="s">
        <v>28</v>
      </c>
      <c r="F843" s="14">
        <v>1008</v>
      </c>
      <c r="G843" s="15">
        <v>225.01</v>
      </c>
      <c r="H843" s="16">
        <v>9.4672583938769247E-2</v>
      </c>
      <c r="I843" s="16">
        <v>6.7380214208503486E-2</v>
      </c>
      <c r="J843" s="15">
        <v>138.76</v>
      </c>
      <c r="K843" s="14">
        <v>852</v>
      </c>
      <c r="L843" s="14">
        <v>226</v>
      </c>
      <c r="M843" s="15">
        <v>18.510000000000002</v>
      </c>
      <c r="N843" s="17">
        <v>226810.08</v>
      </c>
      <c r="O843" s="17">
        <v>21472.696336958968</v>
      </c>
      <c r="P843" s="17">
        <v>13835.67689622937</v>
      </c>
      <c r="Q843" s="17">
        <v>191501.70676681169</v>
      </c>
      <c r="R843" s="17">
        <v>139870.07999999999</v>
      </c>
      <c r="S843" s="17">
        <v>51631.626766811678</v>
      </c>
      <c r="T843" s="17">
        <v>4183.26</v>
      </c>
    </row>
    <row r="844" spans="1:20" x14ac:dyDescent="0.3">
      <c r="A844" s="13">
        <v>45716</v>
      </c>
      <c r="B844" s="7" t="s">
        <v>127</v>
      </c>
      <c r="C844" s="7" t="s">
        <v>27</v>
      </c>
      <c r="D844" s="7" t="s">
        <v>103</v>
      </c>
      <c r="E844" s="7" t="s">
        <v>30</v>
      </c>
      <c r="F844" s="14">
        <v>980</v>
      </c>
      <c r="G844" s="15">
        <v>217.43</v>
      </c>
      <c r="H844" s="16">
        <v>2.7256043091246188E-2</v>
      </c>
      <c r="I844" s="16">
        <v>2.20680812878584E-2</v>
      </c>
      <c r="J844" s="15">
        <v>139.04</v>
      </c>
      <c r="K844" s="14">
        <v>81</v>
      </c>
      <c r="L844" s="14">
        <v>5</v>
      </c>
      <c r="M844" s="15">
        <v>5.25</v>
      </c>
      <c r="N844" s="17">
        <v>213081.4</v>
      </c>
      <c r="O844" s="17">
        <v>5807.7558203430654</v>
      </c>
      <c r="P844" s="17">
        <v>4574.1316285873081</v>
      </c>
      <c r="Q844" s="17">
        <v>202699.51255106961</v>
      </c>
      <c r="R844" s="17">
        <v>136259.20000000001</v>
      </c>
      <c r="S844" s="17">
        <v>66440.312551069626</v>
      </c>
      <c r="T844" s="17">
        <v>26.25</v>
      </c>
    </row>
    <row r="845" spans="1:20" x14ac:dyDescent="0.3">
      <c r="A845" s="13">
        <v>45716</v>
      </c>
      <c r="B845" s="7" t="s">
        <v>127</v>
      </c>
      <c r="C845" s="7" t="s">
        <v>27</v>
      </c>
      <c r="D845" s="7" t="s">
        <v>104</v>
      </c>
      <c r="E845" s="7" t="s">
        <v>25</v>
      </c>
      <c r="F845" s="14">
        <v>2504</v>
      </c>
      <c r="G845" s="15">
        <v>52.11</v>
      </c>
      <c r="H845" s="16">
        <v>4.004168028577107E-2</v>
      </c>
      <c r="I845" s="16">
        <v>2.8318221721498001E-2</v>
      </c>
      <c r="J845" s="15">
        <v>23.17</v>
      </c>
      <c r="K845" s="14">
        <v>1683</v>
      </c>
      <c r="L845" s="14">
        <v>638</v>
      </c>
      <c r="M845" s="15">
        <v>36.74</v>
      </c>
      <c r="N845" s="17">
        <v>130483.44</v>
      </c>
      <c r="O845" s="17">
        <v>5224.7761870675922</v>
      </c>
      <c r="P845" s="17">
        <v>3547.1026143931981</v>
      </c>
      <c r="Q845" s="17">
        <v>121711.5611985392</v>
      </c>
      <c r="R845" s="17">
        <v>58017.680000000008</v>
      </c>
      <c r="S845" s="17">
        <v>63693.881198539209</v>
      </c>
      <c r="T845" s="17">
        <v>23440.12</v>
      </c>
    </row>
    <row r="846" spans="1:20" x14ac:dyDescent="0.3">
      <c r="A846" s="13">
        <v>45716</v>
      </c>
      <c r="B846" s="7" t="s">
        <v>127</v>
      </c>
      <c r="C846" s="7" t="s">
        <v>27</v>
      </c>
      <c r="D846" s="7" t="s">
        <v>104</v>
      </c>
      <c r="E846" s="7" t="s">
        <v>28</v>
      </c>
      <c r="F846" s="14">
        <v>989</v>
      </c>
      <c r="G846" s="15">
        <v>48.74</v>
      </c>
      <c r="H846" s="16">
        <v>0.1062260775387838</v>
      </c>
      <c r="I846" s="16">
        <v>6.0131826639481072E-2</v>
      </c>
      <c r="J846" s="15">
        <v>24</v>
      </c>
      <c r="K846" s="14">
        <v>835</v>
      </c>
      <c r="L846" s="14">
        <v>263</v>
      </c>
      <c r="M846" s="15">
        <v>17.14</v>
      </c>
      <c r="N846" s="17">
        <v>48203.86</v>
      </c>
      <c r="O846" s="17">
        <v>5120.5069700286804</v>
      </c>
      <c r="P846" s="17">
        <v>2590.680715445797</v>
      </c>
      <c r="Q846" s="17">
        <v>40492.672314525516</v>
      </c>
      <c r="R846" s="17">
        <v>23736</v>
      </c>
      <c r="S846" s="17">
        <v>16756.67231452552</v>
      </c>
      <c r="T846" s="17">
        <v>4507.82</v>
      </c>
    </row>
    <row r="847" spans="1:20" x14ac:dyDescent="0.3">
      <c r="A847" s="13">
        <v>45716</v>
      </c>
      <c r="B847" s="7" t="s">
        <v>127</v>
      </c>
      <c r="C847" s="7" t="s">
        <v>27</v>
      </c>
      <c r="D847" s="7" t="s">
        <v>104</v>
      </c>
      <c r="E847" s="7" t="s">
        <v>30</v>
      </c>
      <c r="F847" s="14">
        <v>765</v>
      </c>
      <c r="G847" s="15">
        <v>41.49</v>
      </c>
      <c r="H847" s="16">
        <v>3.3406502471630843E-2</v>
      </c>
      <c r="I847" s="16">
        <v>2.3437133775632519E-2</v>
      </c>
      <c r="J847" s="15">
        <v>23.89</v>
      </c>
      <c r="K847" s="14">
        <v>63</v>
      </c>
      <c r="L847" s="14">
        <v>4</v>
      </c>
      <c r="M847" s="15">
        <v>4.59</v>
      </c>
      <c r="N847" s="17">
        <v>31739.85</v>
      </c>
      <c r="O847" s="17">
        <v>1060.317377474192</v>
      </c>
      <c r="P847" s="17">
        <v>719.04031024801941</v>
      </c>
      <c r="Q847" s="17">
        <v>29960.492312277791</v>
      </c>
      <c r="R847" s="17">
        <v>18275.849999999999</v>
      </c>
      <c r="S847" s="17">
        <v>11684.642312277791</v>
      </c>
      <c r="T847" s="17">
        <v>18.36</v>
      </c>
    </row>
    <row r="848" spans="1:20" x14ac:dyDescent="0.3">
      <c r="A848" s="13">
        <v>45716</v>
      </c>
      <c r="B848" s="7" t="s">
        <v>127</v>
      </c>
      <c r="C848" s="7" t="s">
        <v>29</v>
      </c>
      <c r="D848" s="7" t="s">
        <v>102</v>
      </c>
      <c r="E848" s="7" t="s">
        <v>25</v>
      </c>
      <c r="F848" s="14">
        <v>4718</v>
      </c>
      <c r="G848" s="15">
        <v>126.4</v>
      </c>
      <c r="H848" s="16">
        <v>7.3852281112295845E-2</v>
      </c>
      <c r="I848" s="16">
        <v>5.5723982102703268E-2</v>
      </c>
      <c r="J848" s="15">
        <v>71.22</v>
      </c>
      <c r="K848" s="14">
        <v>3175</v>
      </c>
      <c r="L848" s="14">
        <v>1192</v>
      </c>
      <c r="M848" s="15">
        <v>39.090000000000003</v>
      </c>
      <c r="N848" s="17">
        <v>596355.20000000007</v>
      </c>
      <c r="O848" s="17">
        <v>44042.191873179407</v>
      </c>
      <c r="P848" s="17">
        <v>30777.08017994916</v>
      </c>
      <c r="Q848" s="17">
        <v>521535.9279468715</v>
      </c>
      <c r="R848" s="17">
        <v>336015.96</v>
      </c>
      <c r="S848" s="17">
        <v>185519.9679468715</v>
      </c>
      <c r="T848" s="17">
        <v>46595.280000000013</v>
      </c>
    </row>
    <row r="849" spans="1:20" x14ac:dyDescent="0.3">
      <c r="A849" s="13">
        <v>45716</v>
      </c>
      <c r="B849" s="7" t="s">
        <v>127</v>
      </c>
      <c r="C849" s="7" t="s">
        <v>29</v>
      </c>
      <c r="D849" s="7" t="s">
        <v>102</v>
      </c>
      <c r="E849" s="7" t="s">
        <v>28</v>
      </c>
      <c r="F849" s="14">
        <v>1540</v>
      </c>
      <c r="G849" s="15">
        <v>119.6</v>
      </c>
      <c r="H849" s="16">
        <v>7.833627203747294E-2</v>
      </c>
      <c r="I849" s="16">
        <v>5.8102011303794103E-2</v>
      </c>
      <c r="J849" s="15">
        <v>69.86</v>
      </c>
      <c r="K849" s="14">
        <v>1237</v>
      </c>
      <c r="L849" s="14">
        <v>319</v>
      </c>
      <c r="M849" s="15">
        <v>20.25</v>
      </c>
      <c r="N849" s="17">
        <v>184184</v>
      </c>
      <c r="O849" s="17">
        <v>14428.28792894992</v>
      </c>
      <c r="P849" s="17">
        <v>9863.1483016357688</v>
      </c>
      <c r="Q849" s="17">
        <v>159892.56376941429</v>
      </c>
      <c r="R849" s="17">
        <v>107584.4</v>
      </c>
      <c r="S849" s="17">
        <v>52308.163769414299</v>
      </c>
      <c r="T849" s="17">
        <v>6459.75</v>
      </c>
    </row>
    <row r="850" spans="1:20" x14ac:dyDescent="0.3">
      <c r="A850" s="13">
        <v>45716</v>
      </c>
      <c r="B850" s="7" t="s">
        <v>127</v>
      </c>
      <c r="C850" s="7" t="s">
        <v>29</v>
      </c>
      <c r="D850" s="7" t="s">
        <v>102</v>
      </c>
      <c r="E850" s="7" t="s">
        <v>30</v>
      </c>
      <c r="F850" s="14">
        <v>1366</v>
      </c>
      <c r="G850" s="15">
        <v>96.56</v>
      </c>
      <c r="H850" s="16">
        <v>3.4975565648107047E-2</v>
      </c>
      <c r="I850" s="16">
        <v>9.4655544268695962E-3</v>
      </c>
      <c r="J850" s="15">
        <v>68.760000000000005</v>
      </c>
      <c r="K850" s="14">
        <v>108</v>
      </c>
      <c r="L850" s="14">
        <v>7</v>
      </c>
      <c r="M850" s="15">
        <v>5.16</v>
      </c>
      <c r="N850" s="17">
        <v>131900.96</v>
      </c>
      <c r="O850" s="17">
        <v>4613.3106855283422</v>
      </c>
      <c r="P850" s="17">
        <v>1204.848172454422</v>
      </c>
      <c r="Q850" s="17">
        <v>126082.8011420172</v>
      </c>
      <c r="R850" s="17">
        <v>93926.16</v>
      </c>
      <c r="S850" s="17">
        <v>32156.641142017219</v>
      </c>
      <c r="T850" s="17">
        <v>36.119999999999997</v>
      </c>
    </row>
    <row r="851" spans="1:20" x14ac:dyDescent="0.3">
      <c r="A851" s="13">
        <v>45716</v>
      </c>
      <c r="B851" s="7" t="s">
        <v>127</v>
      </c>
      <c r="C851" s="7" t="s">
        <v>29</v>
      </c>
      <c r="D851" s="7" t="s">
        <v>103</v>
      </c>
      <c r="E851" s="7" t="s">
        <v>25</v>
      </c>
      <c r="F851" s="14">
        <v>1283</v>
      </c>
      <c r="G851" s="15">
        <v>220.86</v>
      </c>
      <c r="H851" s="16">
        <v>7.7928329723633782E-2</v>
      </c>
      <c r="I851" s="16">
        <v>5.8338965460243752E-2</v>
      </c>
      <c r="J851" s="15">
        <v>119.92</v>
      </c>
      <c r="K851" s="14">
        <v>832</v>
      </c>
      <c r="L851" s="14">
        <v>316</v>
      </c>
      <c r="M851" s="15">
        <v>35.21</v>
      </c>
      <c r="N851" s="17">
        <v>283363.38</v>
      </c>
      <c r="O851" s="17">
        <v>22082.034908243331</v>
      </c>
      <c r="P851" s="17">
        <v>15242.883366714021</v>
      </c>
      <c r="Q851" s="17">
        <v>246038.46172504261</v>
      </c>
      <c r="R851" s="17">
        <v>153857.35999999999</v>
      </c>
      <c r="S851" s="17">
        <v>92181.101725042623</v>
      </c>
      <c r="T851" s="17">
        <v>11126.36</v>
      </c>
    </row>
    <row r="852" spans="1:20" x14ac:dyDescent="0.3">
      <c r="A852" s="13">
        <v>45716</v>
      </c>
      <c r="B852" s="7" t="s">
        <v>127</v>
      </c>
      <c r="C852" s="7" t="s">
        <v>29</v>
      </c>
      <c r="D852" s="7" t="s">
        <v>103</v>
      </c>
      <c r="E852" s="7" t="s">
        <v>28</v>
      </c>
      <c r="F852" s="14">
        <v>950</v>
      </c>
      <c r="G852" s="15">
        <v>210.41</v>
      </c>
      <c r="H852" s="16">
        <v>8.7666583390009489E-2</v>
      </c>
      <c r="I852" s="16">
        <v>5.3463532545440708E-2</v>
      </c>
      <c r="J852" s="15">
        <v>124.76</v>
      </c>
      <c r="K852" s="14">
        <v>773</v>
      </c>
      <c r="L852" s="14">
        <v>211</v>
      </c>
      <c r="M852" s="15">
        <v>15.57</v>
      </c>
      <c r="N852" s="17">
        <v>199889.5</v>
      </c>
      <c r="O852" s="17">
        <v>17523.629520537299</v>
      </c>
      <c r="P852" s="17">
        <v>9749.9236515563789</v>
      </c>
      <c r="Q852" s="17">
        <v>172615.9468279063</v>
      </c>
      <c r="R852" s="17">
        <v>118522</v>
      </c>
      <c r="S852" s="17">
        <v>54093.946827906329</v>
      </c>
      <c r="T852" s="17">
        <v>3285.27</v>
      </c>
    </row>
    <row r="853" spans="1:20" x14ac:dyDescent="0.3">
      <c r="A853" s="13">
        <v>45716</v>
      </c>
      <c r="B853" s="7" t="s">
        <v>127</v>
      </c>
      <c r="C853" s="7" t="s">
        <v>29</v>
      </c>
      <c r="D853" s="7" t="s">
        <v>103</v>
      </c>
      <c r="E853" s="7" t="s">
        <v>30</v>
      </c>
      <c r="F853" s="14">
        <v>540</v>
      </c>
      <c r="G853" s="15">
        <v>178.2</v>
      </c>
      <c r="H853" s="16">
        <v>4.5568543665946482E-2</v>
      </c>
      <c r="I853" s="16">
        <v>1.1147594311119609E-2</v>
      </c>
      <c r="J853" s="15">
        <v>120.99</v>
      </c>
      <c r="K853" s="14">
        <v>45</v>
      </c>
      <c r="L853" s="14">
        <v>3</v>
      </c>
      <c r="M853" s="15">
        <v>4.7699999999999996</v>
      </c>
      <c r="N853" s="17">
        <v>96228</v>
      </c>
      <c r="O853" s="17">
        <v>4384.9698198866981</v>
      </c>
      <c r="P853" s="17">
        <v>1023.828840751818</v>
      </c>
      <c r="Q853" s="17">
        <v>90819.201339361491</v>
      </c>
      <c r="R853" s="17">
        <v>65334.6</v>
      </c>
      <c r="S853" s="17">
        <v>25484.601339361488</v>
      </c>
      <c r="T853" s="17">
        <v>14.31</v>
      </c>
    </row>
    <row r="854" spans="1:20" x14ac:dyDescent="0.3">
      <c r="A854" s="13">
        <v>45716</v>
      </c>
      <c r="B854" s="7" t="s">
        <v>127</v>
      </c>
      <c r="C854" s="7" t="s">
        <v>29</v>
      </c>
      <c r="D854" s="7" t="s">
        <v>104</v>
      </c>
      <c r="E854" s="7" t="s">
        <v>25</v>
      </c>
      <c r="F854" s="14">
        <v>1303</v>
      </c>
      <c r="G854" s="15">
        <v>44.82</v>
      </c>
      <c r="H854" s="16">
        <v>8.1970995502247221E-2</v>
      </c>
      <c r="I854" s="16">
        <v>4.4371267797310522E-2</v>
      </c>
      <c r="J854" s="15">
        <v>22.64</v>
      </c>
      <c r="K854" s="14">
        <v>878</v>
      </c>
      <c r="L854" s="14">
        <v>371</v>
      </c>
      <c r="M854" s="15">
        <v>34.74</v>
      </c>
      <c r="N854" s="17">
        <v>58400.46</v>
      </c>
      <c r="O854" s="17">
        <v>4787.143843989169</v>
      </c>
      <c r="P854" s="17">
        <v>2378.890808660231</v>
      </c>
      <c r="Q854" s="17">
        <v>51234.425347350603</v>
      </c>
      <c r="R854" s="17">
        <v>29499.919999999998</v>
      </c>
      <c r="S854" s="17">
        <v>21734.50534735059</v>
      </c>
      <c r="T854" s="17">
        <v>12888.54</v>
      </c>
    </row>
    <row r="855" spans="1:20" x14ac:dyDescent="0.3">
      <c r="A855" s="13">
        <v>45716</v>
      </c>
      <c r="B855" s="7" t="s">
        <v>127</v>
      </c>
      <c r="C855" s="7" t="s">
        <v>29</v>
      </c>
      <c r="D855" s="7" t="s">
        <v>104</v>
      </c>
      <c r="E855" s="7" t="s">
        <v>28</v>
      </c>
      <c r="F855" s="14">
        <v>1048</v>
      </c>
      <c r="G855" s="15">
        <v>42.24</v>
      </c>
      <c r="H855" s="16">
        <v>9.0433932484021567E-2</v>
      </c>
      <c r="I855" s="16">
        <v>3.4113433127811392E-2</v>
      </c>
      <c r="J855" s="15">
        <v>22.59</v>
      </c>
      <c r="K855" s="14">
        <v>839</v>
      </c>
      <c r="L855" s="14">
        <v>235</v>
      </c>
      <c r="M855" s="15">
        <v>23.49</v>
      </c>
      <c r="N855" s="17">
        <v>44267.519999999997</v>
      </c>
      <c r="O855" s="17">
        <v>4003.285914915075</v>
      </c>
      <c r="P855" s="17">
        <v>1373.5512569040891</v>
      </c>
      <c r="Q855" s="17">
        <v>38890.682828180841</v>
      </c>
      <c r="R855" s="17">
        <v>23674.32</v>
      </c>
      <c r="S855" s="17">
        <v>15216.36282818084</v>
      </c>
      <c r="T855" s="17">
        <v>5520.15</v>
      </c>
    </row>
    <row r="856" spans="1:20" x14ac:dyDescent="0.3">
      <c r="A856" s="13">
        <v>45716</v>
      </c>
      <c r="B856" s="7" t="s">
        <v>127</v>
      </c>
      <c r="C856" s="7" t="s">
        <v>29</v>
      </c>
      <c r="D856" s="7" t="s">
        <v>104</v>
      </c>
      <c r="E856" s="7" t="s">
        <v>30</v>
      </c>
      <c r="F856" s="14">
        <v>546</v>
      </c>
      <c r="G856" s="15">
        <v>38.4</v>
      </c>
      <c r="H856" s="16">
        <v>3.5045003360571723E-2</v>
      </c>
      <c r="I856" s="16">
        <v>2.9231979602996241E-2</v>
      </c>
      <c r="J856" s="15">
        <v>23.88</v>
      </c>
      <c r="K856" s="14">
        <v>45</v>
      </c>
      <c r="L856" s="14">
        <v>3</v>
      </c>
      <c r="M856" s="15">
        <v>5.23</v>
      </c>
      <c r="N856" s="17">
        <v>20966.400000000001</v>
      </c>
      <c r="O856" s="17">
        <v>734.76755845909076</v>
      </c>
      <c r="P856" s="17">
        <v>591.41066686644081</v>
      </c>
      <c r="Q856" s="17">
        <v>19640.221774674461</v>
      </c>
      <c r="R856" s="17">
        <v>13038.48</v>
      </c>
      <c r="S856" s="17">
        <v>6601.741774674465</v>
      </c>
      <c r="T856" s="17">
        <v>15.69</v>
      </c>
    </row>
    <row r="857" spans="1:20" x14ac:dyDescent="0.3">
      <c r="A857" s="13">
        <v>45716</v>
      </c>
      <c r="B857" s="7" t="s">
        <v>127</v>
      </c>
      <c r="C857" s="7" t="s">
        <v>31</v>
      </c>
      <c r="D857" s="7" t="s">
        <v>102</v>
      </c>
      <c r="E857" s="7" t="s">
        <v>25</v>
      </c>
      <c r="F857" s="14">
        <v>1823</v>
      </c>
      <c r="G857" s="15">
        <v>110.85</v>
      </c>
      <c r="H857" s="16">
        <v>5.5261003801769681E-2</v>
      </c>
      <c r="I857" s="16">
        <v>2.6776525653167051E-2</v>
      </c>
      <c r="J857" s="15">
        <v>70.48</v>
      </c>
      <c r="K857" s="14">
        <v>1309</v>
      </c>
      <c r="L857" s="14">
        <v>530</v>
      </c>
      <c r="M857" s="15">
        <v>35.840000000000003</v>
      </c>
      <c r="N857" s="17">
        <v>202079.55</v>
      </c>
      <c r="O857" s="17">
        <v>11167.118780809909</v>
      </c>
      <c r="P857" s="17">
        <v>5111.9716120491321</v>
      </c>
      <c r="Q857" s="17">
        <v>185800.45960714089</v>
      </c>
      <c r="R857" s="17">
        <v>128485.04</v>
      </c>
      <c r="S857" s="17">
        <v>57315.419607140939</v>
      </c>
      <c r="T857" s="17">
        <v>18995.2</v>
      </c>
    </row>
    <row r="858" spans="1:20" x14ac:dyDescent="0.3">
      <c r="A858" s="13">
        <v>45716</v>
      </c>
      <c r="B858" s="7" t="s">
        <v>127</v>
      </c>
      <c r="C858" s="7" t="s">
        <v>31</v>
      </c>
      <c r="D858" s="7" t="s">
        <v>102</v>
      </c>
      <c r="E858" s="7" t="s">
        <v>28</v>
      </c>
      <c r="F858" s="14">
        <v>651</v>
      </c>
      <c r="G858" s="15">
        <v>103.95</v>
      </c>
      <c r="H858" s="16">
        <v>9.7438730313055028E-2</v>
      </c>
      <c r="I858" s="16">
        <v>4.899776899982581E-2</v>
      </c>
      <c r="J858" s="15">
        <v>69</v>
      </c>
      <c r="K858" s="14">
        <v>533</v>
      </c>
      <c r="L858" s="14">
        <v>147</v>
      </c>
      <c r="M858" s="15">
        <v>12.73</v>
      </c>
      <c r="N858" s="17">
        <v>67671.45</v>
      </c>
      <c r="O858" s="17">
        <v>6593.8201664433873</v>
      </c>
      <c r="P858" s="17">
        <v>2992.6675976414758</v>
      </c>
      <c r="Q858" s="17">
        <v>58084.962235915133</v>
      </c>
      <c r="R858" s="17">
        <v>44919</v>
      </c>
      <c r="S858" s="17">
        <v>13165.962235915131</v>
      </c>
      <c r="T858" s="17">
        <v>1871.31</v>
      </c>
    </row>
    <row r="859" spans="1:20" x14ac:dyDescent="0.3">
      <c r="A859" s="13">
        <v>45716</v>
      </c>
      <c r="B859" s="7" t="s">
        <v>127</v>
      </c>
      <c r="C859" s="7" t="s">
        <v>31</v>
      </c>
      <c r="D859" s="7" t="s">
        <v>102</v>
      </c>
      <c r="E859" s="7" t="s">
        <v>30</v>
      </c>
      <c r="F859" s="14">
        <v>687</v>
      </c>
      <c r="G859" s="15">
        <v>92.33</v>
      </c>
      <c r="H859" s="16">
        <v>4.1081769283020667E-2</v>
      </c>
      <c r="I859" s="16">
        <v>1.5925659255453278E-2</v>
      </c>
      <c r="J859" s="15">
        <v>66.540000000000006</v>
      </c>
      <c r="K859" s="14">
        <v>57</v>
      </c>
      <c r="L859" s="14">
        <v>3</v>
      </c>
      <c r="M859" s="15">
        <v>6.63</v>
      </c>
      <c r="N859" s="17">
        <v>63430.71</v>
      </c>
      <c r="O859" s="17">
        <v>2605.845793678192</v>
      </c>
      <c r="P859" s="17">
        <v>968.6760616090977</v>
      </c>
      <c r="Q859" s="17">
        <v>59856.188144712709</v>
      </c>
      <c r="R859" s="17">
        <v>45712.98</v>
      </c>
      <c r="S859" s="17">
        <v>14143.208144712709</v>
      </c>
      <c r="T859" s="17">
        <v>19.89</v>
      </c>
    </row>
    <row r="860" spans="1:20" x14ac:dyDescent="0.3">
      <c r="A860" s="13">
        <v>45716</v>
      </c>
      <c r="B860" s="7" t="s">
        <v>127</v>
      </c>
      <c r="C860" s="7" t="s">
        <v>31</v>
      </c>
      <c r="D860" s="7" t="s">
        <v>103</v>
      </c>
      <c r="E860" s="7" t="s">
        <v>25</v>
      </c>
      <c r="F860" s="14">
        <v>741</v>
      </c>
      <c r="G860" s="15">
        <v>225.71</v>
      </c>
      <c r="H860" s="16">
        <v>4.879962195100021E-2</v>
      </c>
      <c r="I860" s="16">
        <v>4.4498272137265101E-2</v>
      </c>
      <c r="J860" s="15">
        <v>116.83</v>
      </c>
      <c r="K860" s="14">
        <v>509</v>
      </c>
      <c r="L860" s="14">
        <v>205</v>
      </c>
      <c r="M860" s="15">
        <v>28.9</v>
      </c>
      <c r="N860" s="17">
        <v>167251.10999999999</v>
      </c>
      <c r="O860" s="17">
        <v>8161.7909388851513</v>
      </c>
      <c r="P860" s="17">
        <v>7079.1998137136852</v>
      </c>
      <c r="Q860" s="17">
        <v>152010.11924740119</v>
      </c>
      <c r="R860" s="17">
        <v>86571.03</v>
      </c>
      <c r="S860" s="17">
        <v>65439.089247401163</v>
      </c>
      <c r="T860" s="17">
        <v>5924.5</v>
      </c>
    </row>
    <row r="861" spans="1:20" x14ac:dyDescent="0.3">
      <c r="A861" s="13">
        <v>45716</v>
      </c>
      <c r="B861" s="7" t="s">
        <v>127</v>
      </c>
      <c r="C861" s="7" t="s">
        <v>31</v>
      </c>
      <c r="D861" s="7" t="s">
        <v>103</v>
      </c>
      <c r="E861" s="7" t="s">
        <v>28</v>
      </c>
      <c r="F861" s="14">
        <v>332</v>
      </c>
      <c r="G861" s="15">
        <v>187.78</v>
      </c>
      <c r="H861" s="16">
        <v>0.10278190214791021</v>
      </c>
      <c r="I861" s="16">
        <v>6.0825044040500612E-2</v>
      </c>
      <c r="J861" s="15">
        <v>120.87</v>
      </c>
      <c r="K861" s="14">
        <v>264</v>
      </c>
      <c r="L861" s="14">
        <v>79</v>
      </c>
      <c r="M861" s="15">
        <v>16.489999999999998</v>
      </c>
      <c r="N861" s="17">
        <v>62342.96</v>
      </c>
      <c r="O861" s="17">
        <v>6407.7280143310827</v>
      </c>
      <c r="P861" s="17">
        <v>3402.26294894393</v>
      </c>
      <c r="Q861" s="17">
        <v>52532.969036724993</v>
      </c>
      <c r="R861" s="17">
        <v>40128.839999999997</v>
      </c>
      <c r="S861" s="17">
        <v>12404.12903672498</v>
      </c>
      <c r="T861" s="17">
        <v>1302.71</v>
      </c>
    </row>
    <row r="862" spans="1:20" x14ac:dyDescent="0.3">
      <c r="A862" s="13">
        <v>45716</v>
      </c>
      <c r="B862" s="7" t="s">
        <v>127</v>
      </c>
      <c r="C862" s="7" t="s">
        <v>31</v>
      </c>
      <c r="D862" s="7" t="s">
        <v>103</v>
      </c>
      <c r="E862" s="7" t="s">
        <v>30</v>
      </c>
      <c r="F862" s="14">
        <v>283</v>
      </c>
      <c r="G862" s="15">
        <v>168.55</v>
      </c>
      <c r="H862" s="16">
        <v>3.484231891672928E-2</v>
      </c>
      <c r="I862" s="16">
        <v>1.554715594704493E-2</v>
      </c>
      <c r="J862" s="15">
        <v>111.81</v>
      </c>
      <c r="K862" s="14">
        <v>24</v>
      </c>
      <c r="L862" s="14">
        <v>1</v>
      </c>
      <c r="M862" s="15">
        <v>6.21</v>
      </c>
      <c r="N862" s="17">
        <v>47699.65</v>
      </c>
      <c r="O862" s="17">
        <v>1661.9664175163659</v>
      </c>
      <c r="P862" s="17">
        <v>715.7550460975832</v>
      </c>
      <c r="Q862" s="17">
        <v>45321.928536386047</v>
      </c>
      <c r="R862" s="17">
        <v>31642.23</v>
      </c>
      <c r="S862" s="17">
        <v>13679.698536386049</v>
      </c>
      <c r="T862" s="17">
        <v>6.21</v>
      </c>
    </row>
    <row r="863" spans="1:20" x14ac:dyDescent="0.3">
      <c r="A863" s="13">
        <v>45716</v>
      </c>
      <c r="B863" s="7" t="s">
        <v>127</v>
      </c>
      <c r="C863" s="7" t="s">
        <v>31</v>
      </c>
      <c r="D863" s="7" t="s">
        <v>104</v>
      </c>
      <c r="E863" s="7" t="s">
        <v>25</v>
      </c>
      <c r="F863" s="14">
        <v>587</v>
      </c>
      <c r="G863" s="15">
        <v>41.06</v>
      </c>
      <c r="H863" s="16">
        <v>5.0204298878944377E-2</v>
      </c>
      <c r="I863" s="16">
        <v>6.5605029593556838E-2</v>
      </c>
      <c r="J863" s="15">
        <v>23.03</v>
      </c>
      <c r="K863" s="14">
        <v>424</v>
      </c>
      <c r="L863" s="14">
        <v>171</v>
      </c>
      <c r="M863" s="15">
        <v>31.82</v>
      </c>
      <c r="N863" s="17">
        <v>24102.22</v>
      </c>
      <c r="O863" s="17">
        <v>1210.035056526071</v>
      </c>
      <c r="P863" s="17">
        <v>1501.842470677783</v>
      </c>
      <c r="Q863" s="17">
        <v>21390.34247279615</v>
      </c>
      <c r="R863" s="17">
        <v>13518.61</v>
      </c>
      <c r="S863" s="17">
        <v>7871.7324727961459</v>
      </c>
      <c r="T863" s="17">
        <v>5441.22</v>
      </c>
    </row>
    <row r="864" spans="1:20" x14ac:dyDescent="0.3">
      <c r="A864" s="13">
        <v>45716</v>
      </c>
      <c r="B864" s="7" t="s">
        <v>127</v>
      </c>
      <c r="C864" s="7" t="s">
        <v>31</v>
      </c>
      <c r="D864" s="7" t="s">
        <v>104</v>
      </c>
      <c r="E864" s="7" t="s">
        <v>28</v>
      </c>
      <c r="F864" s="14">
        <v>316</v>
      </c>
      <c r="G864" s="15">
        <v>39.159999999999997</v>
      </c>
      <c r="H864" s="16">
        <v>6.2563224181971799E-2</v>
      </c>
      <c r="I864" s="16">
        <v>4.0176663202334227E-2</v>
      </c>
      <c r="J864" s="15">
        <v>21.9</v>
      </c>
      <c r="K864" s="14">
        <v>257</v>
      </c>
      <c r="L864" s="14">
        <v>79</v>
      </c>
      <c r="M864" s="15">
        <v>14.34</v>
      </c>
      <c r="N864" s="17">
        <v>12374.56</v>
      </c>
      <c r="O864" s="17">
        <v>774.19237143326097</v>
      </c>
      <c r="P864" s="17">
        <v>466.06406323618648</v>
      </c>
      <c r="Q864" s="17">
        <v>11134.303565330551</v>
      </c>
      <c r="R864" s="17">
        <v>6920.4</v>
      </c>
      <c r="S864" s="17">
        <v>4213.9035653305527</v>
      </c>
      <c r="T864" s="17">
        <v>1132.8599999999999</v>
      </c>
    </row>
    <row r="865" spans="1:20" x14ac:dyDescent="0.3">
      <c r="A865" s="13">
        <v>45716</v>
      </c>
      <c r="B865" s="7" t="s">
        <v>127</v>
      </c>
      <c r="C865" s="7" t="s">
        <v>31</v>
      </c>
      <c r="D865" s="7" t="s">
        <v>104</v>
      </c>
      <c r="E865" s="7" t="s">
        <v>30</v>
      </c>
      <c r="F865" s="14">
        <v>239</v>
      </c>
      <c r="G865" s="15">
        <v>35.53</v>
      </c>
      <c r="H865" s="16">
        <v>4.1484883285840629E-2</v>
      </c>
      <c r="I865" s="16">
        <v>1.9951677893433269E-2</v>
      </c>
      <c r="J865" s="15">
        <v>22.46</v>
      </c>
      <c r="K865" s="14">
        <v>19</v>
      </c>
      <c r="L865" s="14">
        <v>1</v>
      </c>
      <c r="M865" s="15">
        <v>5.43</v>
      </c>
      <c r="N865" s="17">
        <v>8491.67</v>
      </c>
      <c r="O865" s="17">
        <v>352.27593885187429</v>
      </c>
      <c r="P865" s="17">
        <v>162.39456855575111</v>
      </c>
      <c r="Q865" s="17">
        <v>7976.9994925923747</v>
      </c>
      <c r="R865" s="17">
        <v>5367.9400000000014</v>
      </c>
      <c r="S865" s="17">
        <v>2609.0594925923742</v>
      </c>
      <c r="T865" s="17">
        <v>5.43</v>
      </c>
    </row>
    <row r="866" spans="1:20" x14ac:dyDescent="0.3">
      <c r="A866" s="13">
        <v>45747</v>
      </c>
      <c r="B866" s="7" t="s">
        <v>128</v>
      </c>
      <c r="C866" s="7" t="s">
        <v>24</v>
      </c>
      <c r="D866" s="7" t="s">
        <v>102</v>
      </c>
      <c r="E866" s="7" t="s">
        <v>25</v>
      </c>
      <c r="F866" s="14">
        <v>7771</v>
      </c>
      <c r="G866" s="15">
        <v>127.56</v>
      </c>
      <c r="H866" s="16">
        <v>6.8682929048722002E-2</v>
      </c>
      <c r="I866" s="16">
        <v>5.2999873722621341E-2</v>
      </c>
      <c r="J866" s="15">
        <v>75.55</v>
      </c>
      <c r="K866" s="14">
        <v>5267</v>
      </c>
      <c r="L866" s="14">
        <v>1845</v>
      </c>
      <c r="M866" s="15">
        <v>21.67</v>
      </c>
      <c r="N866" s="17">
        <v>991268.76</v>
      </c>
      <c r="O866" s="17">
        <v>68083.241911294637</v>
      </c>
      <c r="P866" s="17">
        <v>48928.715881254153</v>
      </c>
      <c r="Q866" s="17">
        <v>874256.8022074512</v>
      </c>
      <c r="R866" s="17">
        <v>587099.04999999993</v>
      </c>
      <c r="S866" s="17">
        <v>287157.75220745133</v>
      </c>
      <c r="T866" s="17">
        <v>39981.15</v>
      </c>
    </row>
    <row r="867" spans="1:20" x14ac:dyDescent="0.3">
      <c r="A867" s="13">
        <v>45747</v>
      </c>
      <c r="B867" s="7" t="s">
        <v>128</v>
      </c>
      <c r="C867" s="7" t="s">
        <v>24</v>
      </c>
      <c r="D867" s="7" t="s">
        <v>102</v>
      </c>
      <c r="E867" s="7" t="s">
        <v>28</v>
      </c>
      <c r="F867" s="14">
        <v>4663</v>
      </c>
      <c r="G867" s="15">
        <v>120.09</v>
      </c>
      <c r="H867" s="16">
        <v>9.9484199738107057E-2</v>
      </c>
      <c r="I867" s="16">
        <v>4.0013274781581509E-2</v>
      </c>
      <c r="J867" s="15">
        <v>76.02</v>
      </c>
      <c r="K867" s="14">
        <v>3600</v>
      </c>
      <c r="L867" s="14">
        <v>1138</v>
      </c>
      <c r="M867" s="15">
        <v>13.25</v>
      </c>
      <c r="N867" s="17">
        <v>559979.67000000004</v>
      </c>
      <c r="O867" s="17">
        <v>55709.12933955928</v>
      </c>
      <c r="P867" s="17">
        <v>20177.515707702889</v>
      </c>
      <c r="Q867" s="17">
        <v>484093.02495273779</v>
      </c>
      <c r="R867" s="17">
        <v>354481.26</v>
      </c>
      <c r="S867" s="17">
        <v>129611.76495273779</v>
      </c>
      <c r="T867" s="17">
        <v>15078.5</v>
      </c>
    </row>
    <row r="868" spans="1:20" x14ac:dyDescent="0.3">
      <c r="A868" s="13">
        <v>45747</v>
      </c>
      <c r="B868" s="7" t="s">
        <v>128</v>
      </c>
      <c r="C868" s="7" t="s">
        <v>24</v>
      </c>
      <c r="D868" s="7" t="s">
        <v>102</v>
      </c>
      <c r="E868" s="7" t="s">
        <v>30</v>
      </c>
      <c r="F868" s="14">
        <v>2722</v>
      </c>
      <c r="G868" s="15">
        <v>105.98</v>
      </c>
      <c r="H868" s="16">
        <v>5.083653470702177E-2</v>
      </c>
      <c r="I868" s="16">
        <v>3.3334526111600038E-2</v>
      </c>
      <c r="J868" s="15">
        <v>73.650000000000006</v>
      </c>
      <c r="K868" s="14">
        <v>218</v>
      </c>
      <c r="L868" s="14">
        <v>12</v>
      </c>
      <c r="M868" s="15">
        <v>6.01</v>
      </c>
      <c r="N868" s="17">
        <v>288477.56</v>
      </c>
      <c r="O868" s="17">
        <v>14665.199491136949</v>
      </c>
      <c r="P868" s="17">
        <v>9127.4052810615412</v>
      </c>
      <c r="Q868" s="17">
        <v>264684.95522780152</v>
      </c>
      <c r="R868" s="17">
        <v>200475.3</v>
      </c>
      <c r="S868" s="17">
        <v>64209.655227801501</v>
      </c>
      <c r="T868" s="17">
        <v>72.12</v>
      </c>
    </row>
    <row r="869" spans="1:20" x14ac:dyDescent="0.3">
      <c r="A869" s="13">
        <v>45747</v>
      </c>
      <c r="B869" s="7" t="s">
        <v>128</v>
      </c>
      <c r="C869" s="7" t="s">
        <v>24</v>
      </c>
      <c r="D869" s="7" t="s">
        <v>103</v>
      </c>
      <c r="E869" s="7" t="s">
        <v>25</v>
      </c>
      <c r="F869" s="14">
        <v>4001</v>
      </c>
      <c r="G869" s="15">
        <v>237.55</v>
      </c>
      <c r="H869" s="16">
        <v>6.4837308341457844E-2</v>
      </c>
      <c r="I869" s="16">
        <v>3.4215402711236693E-2</v>
      </c>
      <c r="J869" s="15">
        <v>125.6</v>
      </c>
      <c r="K869" s="14">
        <v>2814</v>
      </c>
      <c r="L869" s="14">
        <v>1047</v>
      </c>
      <c r="M869" s="15">
        <v>31.66</v>
      </c>
      <c r="N869" s="17">
        <v>950437.55</v>
      </c>
      <c r="O869" s="17">
        <v>61623.812488649761</v>
      </c>
      <c r="P869" s="17">
        <v>30411.119964230271</v>
      </c>
      <c r="Q869" s="17">
        <v>858402.61754712008</v>
      </c>
      <c r="R869" s="17">
        <v>502525.6</v>
      </c>
      <c r="S869" s="17">
        <v>355877.01754712011</v>
      </c>
      <c r="T869" s="17">
        <v>33148.019999999997</v>
      </c>
    </row>
    <row r="870" spans="1:20" x14ac:dyDescent="0.3">
      <c r="A870" s="13">
        <v>45747</v>
      </c>
      <c r="B870" s="7" t="s">
        <v>128</v>
      </c>
      <c r="C870" s="7" t="s">
        <v>24</v>
      </c>
      <c r="D870" s="7" t="s">
        <v>103</v>
      </c>
      <c r="E870" s="7" t="s">
        <v>28</v>
      </c>
      <c r="F870" s="14">
        <v>2024</v>
      </c>
      <c r="G870" s="15">
        <v>232.84</v>
      </c>
      <c r="H870" s="16">
        <v>0.10571481205991019</v>
      </c>
      <c r="I870" s="16">
        <v>8.0237685733330566E-2</v>
      </c>
      <c r="J870" s="15">
        <v>125.99</v>
      </c>
      <c r="K870" s="14">
        <v>1615</v>
      </c>
      <c r="L870" s="14">
        <v>483</v>
      </c>
      <c r="M870" s="15">
        <v>19.04</v>
      </c>
      <c r="N870" s="17">
        <v>471268.16</v>
      </c>
      <c r="O870" s="17">
        <v>49820.02496421968</v>
      </c>
      <c r="P870" s="17">
        <v>33816.023011899211</v>
      </c>
      <c r="Q870" s="17">
        <v>387632.11202388117</v>
      </c>
      <c r="R870" s="17">
        <v>255003.76</v>
      </c>
      <c r="S870" s="17">
        <v>132628.35202388119</v>
      </c>
      <c r="T870" s="17">
        <v>9196.32</v>
      </c>
    </row>
    <row r="871" spans="1:20" x14ac:dyDescent="0.3">
      <c r="A871" s="13">
        <v>45747</v>
      </c>
      <c r="B871" s="7" t="s">
        <v>128</v>
      </c>
      <c r="C871" s="7" t="s">
        <v>24</v>
      </c>
      <c r="D871" s="7" t="s">
        <v>103</v>
      </c>
      <c r="E871" s="7" t="s">
        <v>30</v>
      </c>
      <c r="F871" s="14">
        <v>1671</v>
      </c>
      <c r="G871" s="15">
        <v>187.47</v>
      </c>
      <c r="H871" s="16">
        <v>4.7856664608415887E-2</v>
      </c>
      <c r="I871" s="16">
        <v>1.8615553221155979E-2</v>
      </c>
      <c r="J871" s="15">
        <v>123.36</v>
      </c>
      <c r="K871" s="14">
        <v>148</v>
      </c>
      <c r="L871" s="14">
        <v>8</v>
      </c>
      <c r="M871" s="15">
        <v>3.87</v>
      </c>
      <c r="N871" s="17">
        <v>313262.37</v>
      </c>
      <c r="O871" s="17">
        <v>14991.69217552748</v>
      </c>
      <c r="P871" s="17">
        <v>5552.473677351737</v>
      </c>
      <c r="Q871" s="17">
        <v>292718.20414712082</v>
      </c>
      <c r="R871" s="17">
        <v>206134.56</v>
      </c>
      <c r="S871" s="17">
        <v>86583.644147120765</v>
      </c>
      <c r="T871" s="17">
        <v>30.96</v>
      </c>
    </row>
    <row r="872" spans="1:20" x14ac:dyDescent="0.3">
      <c r="A872" s="13">
        <v>45747</v>
      </c>
      <c r="B872" s="7" t="s">
        <v>128</v>
      </c>
      <c r="C872" s="7" t="s">
        <v>24</v>
      </c>
      <c r="D872" s="7" t="s">
        <v>104</v>
      </c>
      <c r="E872" s="7" t="s">
        <v>25</v>
      </c>
      <c r="F872" s="14">
        <v>2778</v>
      </c>
      <c r="G872" s="15">
        <v>48.33</v>
      </c>
      <c r="H872" s="16">
        <v>5.947844512413554E-2</v>
      </c>
      <c r="I872" s="16">
        <v>4.588076675167832E-2</v>
      </c>
      <c r="J872" s="15">
        <v>23.75</v>
      </c>
      <c r="K872" s="14">
        <v>1808</v>
      </c>
      <c r="L872" s="14">
        <v>773</v>
      </c>
      <c r="M872" s="15">
        <v>37.450000000000003</v>
      </c>
      <c r="N872" s="17">
        <v>134260.74</v>
      </c>
      <c r="O872" s="17">
        <v>7985.6200564158289</v>
      </c>
      <c r="P872" s="17">
        <v>5793.5993246717881</v>
      </c>
      <c r="Q872" s="17">
        <v>120481.5206189124</v>
      </c>
      <c r="R872" s="17">
        <v>65977.5</v>
      </c>
      <c r="S872" s="17">
        <v>54504.020618912371</v>
      </c>
      <c r="T872" s="17">
        <v>28948.85</v>
      </c>
    </row>
    <row r="873" spans="1:20" x14ac:dyDescent="0.3">
      <c r="A873" s="13">
        <v>45747</v>
      </c>
      <c r="B873" s="7" t="s">
        <v>128</v>
      </c>
      <c r="C873" s="7" t="s">
        <v>24</v>
      </c>
      <c r="D873" s="7" t="s">
        <v>104</v>
      </c>
      <c r="E873" s="7" t="s">
        <v>28</v>
      </c>
      <c r="F873" s="14">
        <v>1693</v>
      </c>
      <c r="G873" s="15">
        <v>46.33</v>
      </c>
      <c r="H873" s="16">
        <v>8.2880247667865128E-2</v>
      </c>
      <c r="I873" s="16">
        <v>5.9923400519591628E-2</v>
      </c>
      <c r="J873" s="15">
        <v>23.36</v>
      </c>
      <c r="K873" s="14">
        <v>1375</v>
      </c>
      <c r="L873" s="14">
        <v>405</v>
      </c>
      <c r="M873" s="15">
        <v>20.54</v>
      </c>
      <c r="N873" s="17">
        <v>78436.69</v>
      </c>
      <c r="O873" s="17">
        <v>6500.8522934475604</v>
      </c>
      <c r="P873" s="17">
        <v>4310.6400146020833</v>
      </c>
      <c r="Q873" s="17">
        <v>67625.19769195035</v>
      </c>
      <c r="R873" s="17">
        <v>39548.480000000003</v>
      </c>
      <c r="S873" s="17">
        <v>28076.717691950351</v>
      </c>
      <c r="T873" s="17">
        <v>8318.6999999999989</v>
      </c>
    </row>
    <row r="874" spans="1:20" x14ac:dyDescent="0.3">
      <c r="A874" s="13">
        <v>45747</v>
      </c>
      <c r="B874" s="7" t="s">
        <v>128</v>
      </c>
      <c r="C874" s="7" t="s">
        <v>24</v>
      </c>
      <c r="D874" s="7" t="s">
        <v>104</v>
      </c>
      <c r="E874" s="7" t="s">
        <v>30</v>
      </c>
      <c r="F874" s="14">
        <v>811</v>
      </c>
      <c r="G874" s="15">
        <v>40.35</v>
      </c>
      <c r="H874" s="16">
        <v>4.4661590154128968E-2</v>
      </c>
      <c r="I874" s="16">
        <v>2.8039575305595789E-2</v>
      </c>
      <c r="J874" s="15">
        <v>24.02</v>
      </c>
      <c r="K874" s="14">
        <v>70</v>
      </c>
      <c r="L874" s="14">
        <v>4</v>
      </c>
      <c r="M874" s="15">
        <v>6.21</v>
      </c>
      <c r="N874" s="17">
        <v>32723.85</v>
      </c>
      <c r="O874" s="17">
        <v>1461.4991769651931</v>
      </c>
      <c r="P874" s="17">
        <v>876.58304013243901</v>
      </c>
      <c r="Q874" s="17">
        <v>30385.767782902371</v>
      </c>
      <c r="R874" s="17">
        <v>19480.22</v>
      </c>
      <c r="S874" s="17">
        <v>10905.547782902369</v>
      </c>
      <c r="T874" s="17">
        <v>24.84</v>
      </c>
    </row>
    <row r="875" spans="1:20" x14ac:dyDescent="0.3">
      <c r="A875" s="13">
        <v>45747</v>
      </c>
      <c r="B875" s="7" t="s">
        <v>128</v>
      </c>
      <c r="C875" s="7" t="s">
        <v>27</v>
      </c>
      <c r="D875" s="7" t="s">
        <v>102</v>
      </c>
      <c r="E875" s="7" t="s">
        <v>25</v>
      </c>
      <c r="F875" s="14">
        <v>7662</v>
      </c>
      <c r="G875" s="15">
        <v>142.30000000000001</v>
      </c>
      <c r="H875" s="16">
        <v>6.6588728562897201E-2</v>
      </c>
      <c r="I875" s="16">
        <v>3.6909337632617403E-2</v>
      </c>
      <c r="J875" s="15">
        <v>77.3</v>
      </c>
      <c r="K875" s="14">
        <v>5346</v>
      </c>
      <c r="L875" s="14">
        <v>2035</v>
      </c>
      <c r="M875" s="15">
        <v>31.8</v>
      </c>
      <c r="N875" s="17">
        <v>1090302.6000000001</v>
      </c>
      <c r="O875" s="17">
        <v>72601.863882821082</v>
      </c>
      <c r="P875" s="17">
        <v>37562.660078312219</v>
      </c>
      <c r="Q875" s="17">
        <v>980138.07603886677</v>
      </c>
      <c r="R875" s="17">
        <v>592272.6</v>
      </c>
      <c r="S875" s="17">
        <v>387865.47603886679</v>
      </c>
      <c r="T875" s="17">
        <v>64713</v>
      </c>
    </row>
    <row r="876" spans="1:20" x14ac:dyDescent="0.3">
      <c r="A876" s="13">
        <v>45747</v>
      </c>
      <c r="B876" s="7" t="s">
        <v>128</v>
      </c>
      <c r="C876" s="7" t="s">
        <v>27</v>
      </c>
      <c r="D876" s="7" t="s">
        <v>102</v>
      </c>
      <c r="E876" s="7" t="s">
        <v>28</v>
      </c>
      <c r="F876" s="14">
        <v>2303</v>
      </c>
      <c r="G876" s="15">
        <v>137.61000000000001</v>
      </c>
      <c r="H876" s="16">
        <v>6.8055854352302256E-2</v>
      </c>
      <c r="I876" s="16">
        <v>5.1648318407349507E-2</v>
      </c>
      <c r="J876" s="15">
        <v>76.45</v>
      </c>
      <c r="K876" s="14">
        <v>2018</v>
      </c>
      <c r="L876" s="14">
        <v>607</v>
      </c>
      <c r="M876" s="15">
        <v>21.69</v>
      </c>
      <c r="N876" s="17">
        <v>316915.83</v>
      </c>
      <c r="O876" s="17">
        <v>21567.977568418981</v>
      </c>
      <c r="P876" s="17">
        <v>15254.219923313171</v>
      </c>
      <c r="Q876" s="17">
        <v>280093.63250826782</v>
      </c>
      <c r="R876" s="17">
        <v>176064.35</v>
      </c>
      <c r="S876" s="17">
        <v>104029.2825082678</v>
      </c>
      <c r="T876" s="17">
        <v>13165.83</v>
      </c>
    </row>
    <row r="877" spans="1:20" x14ac:dyDescent="0.3">
      <c r="A877" s="13">
        <v>45747</v>
      </c>
      <c r="B877" s="7" t="s">
        <v>128</v>
      </c>
      <c r="C877" s="7" t="s">
        <v>27</v>
      </c>
      <c r="D877" s="7" t="s">
        <v>102</v>
      </c>
      <c r="E877" s="7" t="s">
        <v>30</v>
      </c>
      <c r="F877" s="14">
        <v>2309</v>
      </c>
      <c r="G877" s="15">
        <v>110.89</v>
      </c>
      <c r="H877" s="16">
        <v>4.1935027961739417E-2</v>
      </c>
      <c r="I877" s="16">
        <v>1.317947003090821E-2</v>
      </c>
      <c r="J877" s="15">
        <v>75.16</v>
      </c>
      <c r="K877" s="14">
        <v>195</v>
      </c>
      <c r="L877" s="14">
        <v>11</v>
      </c>
      <c r="M877" s="15">
        <v>5.45</v>
      </c>
      <c r="N877" s="17">
        <v>256045.01</v>
      </c>
      <c r="O877" s="17">
        <v>10737.25465381385</v>
      </c>
      <c r="P877" s="17">
        <v>3233.0262099344232</v>
      </c>
      <c r="Q877" s="17">
        <v>242074.72913625179</v>
      </c>
      <c r="R877" s="17">
        <v>173544.44</v>
      </c>
      <c r="S877" s="17">
        <v>68530.289136251755</v>
      </c>
      <c r="T877" s="17">
        <v>59.95</v>
      </c>
    </row>
    <row r="878" spans="1:20" x14ac:dyDescent="0.3">
      <c r="A878" s="13">
        <v>45747</v>
      </c>
      <c r="B878" s="7" t="s">
        <v>128</v>
      </c>
      <c r="C878" s="7" t="s">
        <v>27</v>
      </c>
      <c r="D878" s="7" t="s">
        <v>103</v>
      </c>
      <c r="E878" s="7" t="s">
        <v>25</v>
      </c>
      <c r="F878" s="14">
        <v>2251</v>
      </c>
      <c r="G878" s="15">
        <v>245.28</v>
      </c>
      <c r="H878" s="16">
        <v>5.1608658811362111E-2</v>
      </c>
      <c r="I878" s="16">
        <v>1.7142227555050502E-2</v>
      </c>
      <c r="J878" s="15">
        <v>127.86</v>
      </c>
      <c r="K878" s="14">
        <v>1652</v>
      </c>
      <c r="L878" s="14">
        <v>674</v>
      </c>
      <c r="M878" s="15">
        <v>36.409999999999997</v>
      </c>
      <c r="N878" s="17">
        <v>552125.28</v>
      </c>
      <c r="O878" s="17">
        <v>28494.445196647779</v>
      </c>
      <c r="P878" s="17">
        <v>8976.198925040122</v>
      </c>
      <c r="Q878" s="17">
        <v>514654.63587831211</v>
      </c>
      <c r="R878" s="17">
        <v>287812.86</v>
      </c>
      <c r="S878" s="17">
        <v>226841.7758783121</v>
      </c>
      <c r="T878" s="17">
        <v>24540.34</v>
      </c>
    </row>
    <row r="879" spans="1:20" x14ac:dyDescent="0.3">
      <c r="A879" s="13">
        <v>45747</v>
      </c>
      <c r="B879" s="7" t="s">
        <v>128</v>
      </c>
      <c r="C879" s="7" t="s">
        <v>27</v>
      </c>
      <c r="D879" s="7" t="s">
        <v>103</v>
      </c>
      <c r="E879" s="7" t="s">
        <v>28</v>
      </c>
      <c r="F879" s="14">
        <v>1133</v>
      </c>
      <c r="G879" s="15">
        <v>244.78</v>
      </c>
      <c r="H879" s="16">
        <v>8.2506025422967269E-2</v>
      </c>
      <c r="I879" s="16">
        <v>6.0182545234243573E-2</v>
      </c>
      <c r="J879" s="15">
        <v>130.57</v>
      </c>
      <c r="K879" s="14">
        <v>962</v>
      </c>
      <c r="L879" s="14">
        <v>262</v>
      </c>
      <c r="M879" s="15">
        <v>13.88</v>
      </c>
      <c r="N879" s="17">
        <v>277335.74</v>
      </c>
      <c r="O879" s="17">
        <v>22881.869615137439</v>
      </c>
      <c r="P879" s="17">
        <v>15313.68156446534</v>
      </c>
      <c r="Q879" s="17">
        <v>239140.18882039719</v>
      </c>
      <c r="R879" s="17">
        <v>147935.81</v>
      </c>
      <c r="S879" s="17">
        <v>91204.378820397222</v>
      </c>
      <c r="T879" s="17">
        <v>3636.56</v>
      </c>
    </row>
    <row r="880" spans="1:20" x14ac:dyDescent="0.3">
      <c r="A880" s="13">
        <v>45747</v>
      </c>
      <c r="B880" s="7" t="s">
        <v>128</v>
      </c>
      <c r="C880" s="7" t="s">
        <v>27</v>
      </c>
      <c r="D880" s="7" t="s">
        <v>103</v>
      </c>
      <c r="E880" s="7" t="s">
        <v>30</v>
      </c>
      <c r="F880" s="14">
        <v>794</v>
      </c>
      <c r="G880" s="15">
        <v>214.85</v>
      </c>
      <c r="H880" s="16">
        <v>4.1947949413015113E-2</v>
      </c>
      <c r="I880" s="16">
        <v>2.0714953174046081E-2</v>
      </c>
      <c r="J880" s="15">
        <v>124.15</v>
      </c>
      <c r="K880" s="14">
        <v>69</v>
      </c>
      <c r="L880" s="14">
        <v>4</v>
      </c>
      <c r="M880" s="15">
        <v>4.76</v>
      </c>
      <c r="N880" s="17">
        <v>170590.9</v>
      </c>
      <c r="O880" s="17">
        <v>7155.9384435207194</v>
      </c>
      <c r="P880" s="17">
        <v>3385.5475756444889</v>
      </c>
      <c r="Q880" s="17">
        <v>160049.4139808348</v>
      </c>
      <c r="R880" s="17">
        <v>98575.1</v>
      </c>
      <c r="S880" s="17">
        <v>61474.313980834791</v>
      </c>
      <c r="T880" s="17">
        <v>19.04</v>
      </c>
    </row>
    <row r="881" spans="1:20" x14ac:dyDescent="0.3">
      <c r="A881" s="13">
        <v>45747</v>
      </c>
      <c r="B881" s="7" t="s">
        <v>128</v>
      </c>
      <c r="C881" s="7" t="s">
        <v>27</v>
      </c>
      <c r="D881" s="7" t="s">
        <v>104</v>
      </c>
      <c r="E881" s="7" t="s">
        <v>25</v>
      </c>
      <c r="F881" s="14">
        <v>2138</v>
      </c>
      <c r="G881" s="15">
        <v>54.23</v>
      </c>
      <c r="H881" s="16">
        <v>6.5377839353052553E-2</v>
      </c>
      <c r="I881" s="16">
        <v>3.2886967730505208E-2</v>
      </c>
      <c r="J881" s="15">
        <v>24.09</v>
      </c>
      <c r="K881" s="14">
        <v>1590</v>
      </c>
      <c r="L881" s="14">
        <v>629</v>
      </c>
      <c r="M881" s="15">
        <v>33.36</v>
      </c>
      <c r="N881" s="17">
        <v>115943.74</v>
      </c>
      <c r="O881" s="17">
        <v>7580.1512077120924</v>
      </c>
      <c r="P881" s="17">
        <v>3563.7498477737081</v>
      </c>
      <c r="Q881" s="17">
        <v>104799.83894451419</v>
      </c>
      <c r="R881" s="17">
        <v>51504.42</v>
      </c>
      <c r="S881" s="17">
        <v>53295.418944514196</v>
      </c>
      <c r="T881" s="17">
        <v>20983.439999999999</v>
      </c>
    </row>
    <row r="882" spans="1:20" x14ac:dyDescent="0.3">
      <c r="A882" s="13">
        <v>45747</v>
      </c>
      <c r="B882" s="7" t="s">
        <v>128</v>
      </c>
      <c r="C882" s="7" t="s">
        <v>27</v>
      </c>
      <c r="D882" s="7" t="s">
        <v>104</v>
      </c>
      <c r="E882" s="7" t="s">
        <v>28</v>
      </c>
      <c r="F882" s="14">
        <v>825</v>
      </c>
      <c r="G882" s="15">
        <v>51.06</v>
      </c>
      <c r="H882" s="16">
        <v>6.1910002907221789E-2</v>
      </c>
      <c r="I882" s="16">
        <v>7.8087276310740639E-2</v>
      </c>
      <c r="J882" s="15">
        <v>23.33</v>
      </c>
      <c r="K882" s="14">
        <v>677</v>
      </c>
      <c r="L882" s="14">
        <v>201</v>
      </c>
      <c r="M882" s="15">
        <v>13.55</v>
      </c>
      <c r="N882" s="17">
        <v>42124.5</v>
      </c>
      <c r="O882" s="17">
        <v>2607.9279174652638</v>
      </c>
      <c r="P882" s="17">
        <v>3085.7414830621901</v>
      </c>
      <c r="Q882" s="17">
        <v>36430.830599472552</v>
      </c>
      <c r="R882" s="17">
        <v>19247.25</v>
      </c>
      <c r="S882" s="17">
        <v>17183.580599472549</v>
      </c>
      <c r="T882" s="17">
        <v>2723.55</v>
      </c>
    </row>
    <row r="883" spans="1:20" x14ac:dyDescent="0.3">
      <c r="A883" s="13">
        <v>45747</v>
      </c>
      <c r="B883" s="7" t="s">
        <v>128</v>
      </c>
      <c r="C883" s="7" t="s">
        <v>27</v>
      </c>
      <c r="D883" s="7" t="s">
        <v>104</v>
      </c>
      <c r="E883" s="7" t="s">
        <v>30</v>
      </c>
      <c r="F883" s="14">
        <v>966</v>
      </c>
      <c r="G883" s="15">
        <v>43.68</v>
      </c>
      <c r="H883" s="16">
        <v>5.2359070010424412E-2</v>
      </c>
      <c r="I883" s="16">
        <v>2.2793619184722429E-2</v>
      </c>
      <c r="J883" s="15">
        <v>23.89</v>
      </c>
      <c r="K883" s="14">
        <v>83</v>
      </c>
      <c r="L883" s="14">
        <v>5</v>
      </c>
      <c r="M883" s="15">
        <v>5.31</v>
      </c>
      <c r="N883" s="17">
        <v>42194.879999999997</v>
      </c>
      <c r="O883" s="17">
        <v>2209.2846760014568</v>
      </c>
      <c r="P883" s="17">
        <v>911.4164326896406</v>
      </c>
      <c r="Q883" s="17">
        <v>39074.178891308897</v>
      </c>
      <c r="R883" s="17">
        <v>23077.74</v>
      </c>
      <c r="S883" s="17">
        <v>15996.438891308901</v>
      </c>
      <c r="T883" s="17">
        <v>26.55</v>
      </c>
    </row>
    <row r="884" spans="1:20" x14ac:dyDescent="0.3">
      <c r="A884" s="13">
        <v>45747</v>
      </c>
      <c r="B884" s="7" t="s">
        <v>128</v>
      </c>
      <c r="C884" s="7" t="s">
        <v>29</v>
      </c>
      <c r="D884" s="7" t="s">
        <v>102</v>
      </c>
      <c r="E884" s="7" t="s">
        <v>25</v>
      </c>
      <c r="F884" s="14">
        <v>5807</v>
      </c>
      <c r="G884" s="15">
        <v>121.55</v>
      </c>
      <c r="H884" s="16">
        <v>4.1058754811112007E-2</v>
      </c>
      <c r="I884" s="16">
        <v>4.1380784084175469E-2</v>
      </c>
      <c r="J884" s="15">
        <v>67.900000000000006</v>
      </c>
      <c r="K884" s="14">
        <v>3880</v>
      </c>
      <c r="L884" s="14">
        <v>1417</v>
      </c>
      <c r="M884" s="15">
        <v>32.31</v>
      </c>
      <c r="N884" s="17">
        <v>705840.85</v>
      </c>
      <c r="O884" s="17">
        <v>28980.946395816889</v>
      </c>
      <c r="P884" s="17">
        <v>28008.993526280519</v>
      </c>
      <c r="Q884" s="17">
        <v>648850.9100779026</v>
      </c>
      <c r="R884" s="17">
        <v>394295.3</v>
      </c>
      <c r="S884" s="17">
        <v>254555.61007790259</v>
      </c>
      <c r="T884" s="17">
        <v>45783.27</v>
      </c>
    </row>
    <row r="885" spans="1:20" x14ac:dyDescent="0.3">
      <c r="A885" s="13">
        <v>45747</v>
      </c>
      <c r="B885" s="7" t="s">
        <v>128</v>
      </c>
      <c r="C885" s="7" t="s">
        <v>29</v>
      </c>
      <c r="D885" s="7" t="s">
        <v>102</v>
      </c>
      <c r="E885" s="7" t="s">
        <v>28</v>
      </c>
      <c r="F885" s="14">
        <v>2466</v>
      </c>
      <c r="G885" s="15">
        <v>110.94</v>
      </c>
      <c r="H885" s="16">
        <v>0.1060820192020297</v>
      </c>
      <c r="I885" s="16">
        <v>7.012705584610382E-2</v>
      </c>
      <c r="J885" s="15">
        <v>68.260000000000005</v>
      </c>
      <c r="K885" s="14">
        <v>2016</v>
      </c>
      <c r="L885" s="14">
        <v>666</v>
      </c>
      <c r="M885" s="15">
        <v>26.78</v>
      </c>
      <c r="N885" s="17">
        <v>273578.03999999998</v>
      </c>
      <c r="O885" s="17">
        <v>29021.710892533662</v>
      </c>
      <c r="P885" s="17">
        <v>17150.015348837442</v>
      </c>
      <c r="Q885" s="17">
        <v>227406.31375862891</v>
      </c>
      <c r="R885" s="17">
        <v>168329.16</v>
      </c>
      <c r="S885" s="17">
        <v>59077.153758628883</v>
      </c>
      <c r="T885" s="17">
        <v>17835.48</v>
      </c>
    </row>
    <row r="886" spans="1:20" x14ac:dyDescent="0.3">
      <c r="A886" s="13">
        <v>45747</v>
      </c>
      <c r="B886" s="7" t="s">
        <v>128</v>
      </c>
      <c r="C886" s="7" t="s">
        <v>29</v>
      </c>
      <c r="D886" s="7" t="s">
        <v>102</v>
      </c>
      <c r="E886" s="7" t="s">
        <v>30</v>
      </c>
      <c r="F886" s="14">
        <v>1669</v>
      </c>
      <c r="G886" s="15">
        <v>99.9</v>
      </c>
      <c r="H886" s="16">
        <v>3.923555876566024E-2</v>
      </c>
      <c r="I886" s="16">
        <v>2.051322764269832E-2</v>
      </c>
      <c r="J886" s="15">
        <v>71.33</v>
      </c>
      <c r="K886" s="14">
        <v>134</v>
      </c>
      <c r="L886" s="14">
        <v>7</v>
      </c>
      <c r="M886" s="15">
        <v>5.57</v>
      </c>
      <c r="N886" s="17">
        <v>166733.1</v>
      </c>
      <c r="O886" s="17">
        <v>6541.8663432307058</v>
      </c>
      <c r="P886" s="17">
        <v>3286.039242365986</v>
      </c>
      <c r="Q886" s="17">
        <v>156905.19441440329</v>
      </c>
      <c r="R886" s="17">
        <v>119049.77</v>
      </c>
      <c r="S886" s="17">
        <v>37855.424414403307</v>
      </c>
      <c r="T886" s="17">
        <v>38.99</v>
      </c>
    </row>
    <row r="887" spans="1:20" x14ac:dyDescent="0.3">
      <c r="A887" s="13">
        <v>45747</v>
      </c>
      <c r="B887" s="7" t="s">
        <v>128</v>
      </c>
      <c r="C887" s="7" t="s">
        <v>29</v>
      </c>
      <c r="D887" s="7" t="s">
        <v>103</v>
      </c>
      <c r="E887" s="7" t="s">
        <v>25</v>
      </c>
      <c r="F887" s="14">
        <v>1968</v>
      </c>
      <c r="G887" s="15">
        <v>211.29</v>
      </c>
      <c r="H887" s="16">
        <v>6.3183935678022496E-2</v>
      </c>
      <c r="I887" s="16">
        <v>3.0206997697173641E-2</v>
      </c>
      <c r="J887" s="15">
        <v>123.98</v>
      </c>
      <c r="K887" s="14">
        <v>1252</v>
      </c>
      <c r="L887" s="14">
        <v>471</v>
      </c>
      <c r="M887" s="15">
        <v>39.57</v>
      </c>
      <c r="N887" s="17">
        <v>415818.72</v>
      </c>
      <c r="O887" s="17">
        <v>26273.06325819765</v>
      </c>
      <c r="P887" s="17">
        <v>11767.00475614362</v>
      </c>
      <c r="Q887" s="17">
        <v>377778.65198565868</v>
      </c>
      <c r="R887" s="17">
        <v>243992.64</v>
      </c>
      <c r="S887" s="17">
        <v>133786.0119856587</v>
      </c>
      <c r="T887" s="17">
        <v>18637.47</v>
      </c>
    </row>
    <row r="888" spans="1:20" x14ac:dyDescent="0.3">
      <c r="A888" s="13">
        <v>45747</v>
      </c>
      <c r="B888" s="7" t="s">
        <v>128</v>
      </c>
      <c r="C888" s="7" t="s">
        <v>29</v>
      </c>
      <c r="D888" s="7" t="s">
        <v>103</v>
      </c>
      <c r="E888" s="7" t="s">
        <v>28</v>
      </c>
      <c r="F888" s="14">
        <v>809</v>
      </c>
      <c r="G888" s="15">
        <v>220.36</v>
      </c>
      <c r="H888" s="16">
        <v>8.5070439721824112E-2</v>
      </c>
      <c r="I888" s="16">
        <v>4.7392605217399623E-2</v>
      </c>
      <c r="J888" s="15">
        <v>125.92</v>
      </c>
      <c r="K888" s="14">
        <v>703</v>
      </c>
      <c r="L888" s="14">
        <v>205</v>
      </c>
      <c r="M888" s="15">
        <v>16.59</v>
      </c>
      <c r="N888" s="17">
        <v>178271.24</v>
      </c>
      <c r="O888" s="17">
        <v>15165.612776554841</v>
      </c>
      <c r="P888" s="17">
        <v>7730.0005997370863</v>
      </c>
      <c r="Q888" s="17">
        <v>155375.62662370811</v>
      </c>
      <c r="R888" s="17">
        <v>101869.28</v>
      </c>
      <c r="S888" s="17">
        <v>53506.346623708123</v>
      </c>
      <c r="T888" s="17">
        <v>3400.95</v>
      </c>
    </row>
    <row r="889" spans="1:20" x14ac:dyDescent="0.3">
      <c r="A889" s="13">
        <v>45747</v>
      </c>
      <c r="B889" s="7" t="s">
        <v>128</v>
      </c>
      <c r="C889" s="7" t="s">
        <v>29</v>
      </c>
      <c r="D889" s="7" t="s">
        <v>103</v>
      </c>
      <c r="E889" s="7" t="s">
        <v>30</v>
      </c>
      <c r="F889" s="14">
        <v>660</v>
      </c>
      <c r="G889" s="15">
        <v>190.33</v>
      </c>
      <c r="H889" s="16">
        <v>2.8395473527242539E-2</v>
      </c>
      <c r="I889" s="16">
        <v>2.0115403294752109E-2</v>
      </c>
      <c r="J889" s="15">
        <v>125.69</v>
      </c>
      <c r="K889" s="14">
        <v>54</v>
      </c>
      <c r="L889" s="14">
        <v>3</v>
      </c>
      <c r="M889" s="15">
        <v>5.17</v>
      </c>
      <c r="N889" s="17">
        <v>125617.8</v>
      </c>
      <c r="O889" s="17">
        <v>3566.976914450448</v>
      </c>
      <c r="P889" s="17">
        <v>2455.1015288222702</v>
      </c>
      <c r="Q889" s="17">
        <v>119595.72155672729</v>
      </c>
      <c r="R889" s="17">
        <v>82955.399999999994</v>
      </c>
      <c r="S889" s="17">
        <v>36640.321556727293</v>
      </c>
      <c r="T889" s="17">
        <v>15.51</v>
      </c>
    </row>
    <row r="890" spans="1:20" x14ac:dyDescent="0.3">
      <c r="A890" s="13">
        <v>45747</v>
      </c>
      <c r="B890" s="7" t="s">
        <v>128</v>
      </c>
      <c r="C890" s="7" t="s">
        <v>29</v>
      </c>
      <c r="D890" s="7" t="s">
        <v>104</v>
      </c>
      <c r="E890" s="7" t="s">
        <v>25</v>
      </c>
      <c r="F890" s="14">
        <v>2137</v>
      </c>
      <c r="G890" s="15">
        <v>46.62</v>
      </c>
      <c r="H890" s="16">
        <v>6.0893824334562141E-2</v>
      </c>
      <c r="I890" s="16">
        <v>3.6095912617195303E-2</v>
      </c>
      <c r="J890" s="15">
        <v>22.97</v>
      </c>
      <c r="K890" s="14">
        <v>1469</v>
      </c>
      <c r="L890" s="14">
        <v>552</v>
      </c>
      <c r="M890" s="15">
        <v>28.24</v>
      </c>
      <c r="N890" s="17">
        <v>99626.939999999988</v>
      </c>
      <c r="O890" s="17">
        <v>6066.6653833499613</v>
      </c>
      <c r="P890" s="17">
        <v>3377.1434970033952</v>
      </c>
      <c r="Q890" s="17">
        <v>90183.131119646641</v>
      </c>
      <c r="R890" s="17">
        <v>49086.89</v>
      </c>
      <c r="S890" s="17">
        <v>41096.241119646642</v>
      </c>
      <c r="T890" s="17">
        <v>15588.48</v>
      </c>
    </row>
    <row r="891" spans="1:20" x14ac:dyDescent="0.3">
      <c r="A891" s="13">
        <v>45747</v>
      </c>
      <c r="B891" s="7" t="s">
        <v>128</v>
      </c>
      <c r="C891" s="7" t="s">
        <v>29</v>
      </c>
      <c r="D891" s="7" t="s">
        <v>104</v>
      </c>
      <c r="E891" s="7" t="s">
        <v>28</v>
      </c>
      <c r="F891" s="14">
        <v>687</v>
      </c>
      <c r="G891" s="15">
        <v>39.700000000000003</v>
      </c>
      <c r="H891" s="16">
        <v>9.5340584269299714E-2</v>
      </c>
      <c r="I891" s="16">
        <v>6.051407721300333E-2</v>
      </c>
      <c r="J891" s="15">
        <v>21.48</v>
      </c>
      <c r="K891" s="14">
        <v>560</v>
      </c>
      <c r="L891" s="14">
        <v>182</v>
      </c>
      <c r="M891" s="15">
        <v>19</v>
      </c>
      <c r="N891" s="17">
        <v>27273.9</v>
      </c>
      <c r="O891" s="17">
        <v>2600.3095613024529</v>
      </c>
      <c r="P891" s="17">
        <v>1493.0995569293641</v>
      </c>
      <c r="Q891" s="17">
        <v>23180.49088176819</v>
      </c>
      <c r="R891" s="17">
        <v>14756.76</v>
      </c>
      <c r="S891" s="17">
        <v>8423.730881768186</v>
      </c>
      <c r="T891" s="17">
        <v>3458</v>
      </c>
    </row>
    <row r="892" spans="1:20" x14ac:dyDescent="0.3">
      <c r="A892" s="13">
        <v>45747</v>
      </c>
      <c r="B892" s="7" t="s">
        <v>128</v>
      </c>
      <c r="C892" s="7" t="s">
        <v>29</v>
      </c>
      <c r="D892" s="7" t="s">
        <v>104</v>
      </c>
      <c r="E892" s="7" t="s">
        <v>30</v>
      </c>
      <c r="F892" s="14">
        <v>669</v>
      </c>
      <c r="G892" s="15">
        <v>38.950000000000003</v>
      </c>
      <c r="H892" s="16">
        <v>3.5573579771890948E-2</v>
      </c>
      <c r="I892" s="16">
        <v>2.3432838733765879E-2</v>
      </c>
      <c r="J892" s="15">
        <v>23.12</v>
      </c>
      <c r="K892" s="14">
        <v>57</v>
      </c>
      <c r="L892" s="14">
        <v>3</v>
      </c>
      <c r="M892" s="15">
        <v>4.21</v>
      </c>
      <c r="N892" s="17">
        <v>26057.55</v>
      </c>
      <c r="O892" s="17">
        <v>926.96033358503723</v>
      </c>
      <c r="P892" s="17">
        <v>588.88105493754517</v>
      </c>
      <c r="Q892" s="17">
        <v>24541.708611477421</v>
      </c>
      <c r="R892" s="17">
        <v>15467.28</v>
      </c>
      <c r="S892" s="17">
        <v>9074.4286114774204</v>
      </c>
      <c r="T892" s="17">
        <v>12.63</v>
      </c>
    </row>
    <row r="893" spans="1:20" x14ac:dyDescent="0.3">
      <c r="A893" s="13">
        <v>45747</v>
      </c>
      <c r="B893" s="7" t="s">
        <v>128</v>
      </c>
      <c r="C893" s="7" t="s">
        <v>31</v>
      </c>
      <c r="D893" s="7" t="s">
        <v>102</v>
      </c>
      <c r="E893" s="7" t="s">
        <v>25</v>
      </c>
      <c r="F893" s="14">
        <v>2377</v>
      </c>
      <c r="G893" s="15">
        <v>116.78</v>
      </c>
      <c r="H893" s="16">
        <v>5.3024595332853842E-2</v>
      </c>
      <c r="I893" s="16">
        <v>3.145506537261946E-2</v>
      </c>
      <c r="J893" s="15">
        <v>68.92</v>
      </c>
      <c r="K893" s="14">
        <v>1614</v>
      </c>
      <c r="L893" s="14">
        <v>537</v>
      </c>
      <c r="M893" s="15">
        <v>33.57</v>
      </c>
      <c r="N893" s="17">
        <v>277586.06</v>
      </c>
      <c r="O893" s="17">
        <v>14718.888501541291</v>
      </c>
      <c r="P893" s="17">
        <v>8268.5040637995899</v>
      </c>
      <c r="Q893" s="17">
        <v>254598.66743465909</v>
      </c>
      <c r="R893" s="17">
        <v>163822.84</v>
      </c>
      <c r="S893" s="17">
        <v>90775.827434659121</v>
      </c>
      <c r="T893" s="17">
        <v>18027.09</v>
      </c>
    </row>
    <row r="894" spans="1:20" x14ac:dyDescent="0.3">
      <c r="A894" s="13">
        <v>45747</v>
      </c>
      <c r="B894" s="7" t="s">
        <v>128</v>
      </c>
      <c r="C894" s="7" t="s">
        <v>31</v>
      </c>
      <c r="D894" s="7" t="s">
        <v>102</v>
      </c>
      <c r="E894" s="7" t="s">
        <v>28</v>
      </c>
      <c r="F894" s="14">
        <v>949</v>
      </c>
      <c r="G894" s="15">
        <v>104.68</v>
      </c>
      <c r="H894" s="16">
        <v>8.8434039523659289E-2</v>
      </c>
      <c r="I894" s="16">
        <v>8.8468309389880567E-2</v>
      </c>
      <c r="J894" s="15">
        <v>69.53</v>
      </c>
      <c r="K894" s="14">
        <v>808</v>
      </c>
      <c r="L894" s="14">
        <v>223</v>
      </c>
      <c r="M894" s="15">
        <v>21.52</v>
      </c>
      <c r="N894" s="17">
        <v>99341.32</v>
      </c>
      <c r="O894" s="17">
        <v>8785.1542192124853</v>
      </c>
      <c r="P894" s="17">
        <v>8011.3508914560252</v>
      </c>
      <c r="Q894" s="17">
        <v>82544.814889331494</v>
      </c>
      <c r="R894" s="17">
        <v>65983.97</v>
      </c>
      <c r="S894" s="17">
        <v>16560.844889331489</v>
      </c>
      <c r="T894" s="17">
        <v>4798.96</v>
      </c>
    </row>
    <row r="895" spans="1:20" x14ac:dyDescent="0.3">
      <c r="A895" s="13">
        <v>45747</v>
      </c>
      <c r="B895" s="7" t="s">
        <v>128</v>
      </c>
      <c r="C895" s="7" t="s">
        <v>31</v>
      </c>
      <c r="D895" s="7" t="s">
        <v>102</v>
      </c>
      <c r="E895" s="7" t="s">
        <v>30</v>
      </c>
      <c r="F895" s="14">
        <v>773</v>
      </c>
      <c r="G895" s="15">
        <v>92.65</v>
      </c>
      <c r="H895" s="16">
        <v>4.3621874433764439E-2</v>
      </c>
      <c r="I895" s="16">
        <v>2.687305633788277E-2</v>
      </c>
      <c r="J895" s="15">
        <v>70.52</v>
      </c>
      <c r="K895" s="14">
        <v>63</v>
      </c>
      <c r="L895" s="14">
        <v>4</v>
      </c>
      <c r="M895" s="15">
        <v>6.07</v>
      </c>
      <c r="N895" s="17">
        <v>71618.450000000012</v>
      </c>
      <c r="O895" s="17">
        <v>3124.1310330408369</v>
      </c>
      <c r="P895" s="17">
        <v>1840.651692424007</v>
      </c>
      <c r="Q895" s="17">
        <v>66653.667274535168</v>
      </c>
      <c r="R895" s="17">
        <v>54511.96</v>
      </c>
      <c r="S895" s="17">
        <v>12141.707274535171</v>
      </c>
      <c r="T895" s="17">
        <v>24.28</v>
      </c>
    </row>
    <row r="896" spans="1:20" x14ac:dyDescent="0.3">
      <c r="A896" s="13">
        <v>45747</v>
      </c>
      <c r="B896" s="7" t="s">
        <v>128</v>
      </c>
      <c r="C896" s="7" t="s">
        <v>31</v>
      </c>
      <c r="D896" s="7" t="s">
        <v>103</v>
      </c>
      <c r="E896" s="7" t="s">
        <v>25</v>
      </c>
      <c r="F896" s="14">
        <v>806</v>
      </c>
      <c r="G896" s="15">
        <v>209.67</v>
      </c>
      <c r="H896" s="16">
        <v>5.6769374533385271E-2</v>
      </c>
      <c r="I896" s="16">
        <v>4.7297729370341962E-2</v>
      </c>
      <c r="J896" s="15">
        <v>116.26</v>
      </c>
      <c r="K896" s="14">
        <v>547</v>
      </c>
      <c r="L896" s="14">
        <v>199</v>
      </c>
      <c r="M896" s="15">
        <v>32.25</v>
      </c>
      <c r="N896" s="17">
        <v>168994.02</v>
      </c>
      <c r="O896" s="17">
        <v>9593.6848152824005</v>
      </c>
      <c r="P896" s="17">
        <v>7539.2739151085689</v>
      </c>
      <c r="Q896" s="17">
        <v>151861.061269609</v>
      </c>
      <c r="R896" s="17">
        <v>93705.56</v>
      </c>
      <c r="S896" s="17">
        <v>58155.501269609027</v>
      </c>
      <c r="T896" s="17">
        <v>6417.75</v>
      </c>
    </row>
    <row r="897" spans="1:20" x14ac:dyDescent="0.3">
      <c r="A897" s="13">
        <v>45747</v>
      </c>
      <c r="B897" s="7" t="s">
        <v>128</v>
      </c>
      <c r="C897" s="7" t="s">
        <v>31</v>
      </c>
      <c r="D897" s="7" t="s">
        <v>103</v>
      </c>
      <c r="E897" s="7" t="s">
        <v>28</v>
      </c>
      <c r="F897" s="14">
        <v>493</v>
      </c>
      <c r="G897" s="15">
        <v>194.16</v>
      </c>
      <c r="H897" s="16">
        <v>6.2661961165371663E-2</v>
      </c>
      <c r="I897" s="16">
        <v>6.2371408478651788E-2</v>
      </c>
      <c r="J897" s="15">
        <v>119.72</v>
      </c>
      <c r="K897" s="14">
        <v>377</v>
      </c>
      <c r="L897" s="14">
        <v>127</v>
      </c>
      <c r="M897" s="15">
        <v>17.73</v>
      </c>
      <c r="N897" s="17">
        <v>95720.88</v>
      </c>
      <c r="O897" s="17">
        <v>5998.0580652752014</v>
      </c>
      <c r="P897" s="17">
        <v>5596.1387767480601</v>
      </c>
      <c r="Q897" s="17">
        <v>84126.683157976746</v>
      </c>
      <c r="R897" s="17">
        <v>59021.96</v>
      </c>
      <c r="S897" s="17">
        <v>25104.72315797675</v>
      </c>
      <c r="T897" s="17">
        <v>2251.71</v>
      </c>
    </row>
    <row r="898" spans="1:20" x14ac:dyDescent="0.3">
      <c r="A898" s="13">
        <v>45747</v>
      </c>
      <c r="B898" s="7" t="s">
        <v>128</v>
      </c>
      <c r="C898" s="7" t="s">
        <v>31</v>
      </c>
      <c r="D898" s="7" t="s">
        <v>103</v>
      </c>
      <c r="E898" s="7" t="s">
        <v>30</v>
      </c>
      <c r="F898" s="14">
        <v>417</v>
      </c>
      <c r="G898" s="15">
        <v>172.51</v>
      </c>
      <c r="H898" s="16">
        <v>3.9373849303371483E-2</v>
      </c>
      <c r="I898" s="16">
        <v>2.8877454246200241E-2</v>
      </c>
      <c r="J898" s="15">
        <v>114.29</v>
      </c>
      <c r="K898" s="14">
        <v>36</v>
      </c>
      <c r="L898" s="14">
        <v>2</v>
      </c>
      <c r="M898" s="15">
        <v>5.13</v>
      </c>
      <c r="N898" s="17">
        <v>71936.67</v>
      </c>
      <c r="O898" s="17">
        <v>2832.4236039663642</v>
      </c>
      <c r="P898" s="17">
        <v>1995.5547135196091</v>
      </c>
      <c r="Q898" s="17">
        <v>67108.691682514022</v>
      </c>
      <c r="R898" s="17">
        <v>47658.93</v>
      </c>
      <c r="S898" s="17">
        <v>19449.761682514021</v>
      </c>
      <c r="T898" s="17">
        <v>10.26</v>
      </c>
    </row>
    <row r="899" spans="1:20" x14ac:dyDescent="0.3">
      <c r="A899" s="13">
        <v>45747</v>
      </c>
      <c r="B899" s="7" t="s">
        <v>128</v>
      </c>
      <c r="C899" s="7" t="s">
        <v>31</v>
      </c>
      <c r="D899" s="7" t="s">
        <v>104</v>
      </c>
      <c r="E899" s="7" t="s">
        <v>25</v>
      </c>
      <c r="F899" s="14">
        <v>776</v>
      </c>
      <c r="G899" s="15">
        <v>40.700000000000003</v>
      </c>
      <c r="H899" s="16">
        <v>6.1411407144883738E-2</v>
      </c>
      <c r="I899" s="16">
        <v>4.2812304922186052E-2</v>
      </c>
      <c r="J899" s="15">
        <v>22.91</v>
      </c>
      <c r="K899" s="14">
        <v>553</v>
      </c>
      <c r="L899" s="14">
        <v>200</v>
      </c>
      <c r="M899" s="15">
        <v>24.68</v>
      </c>
      <c r="N899" s="17">
        <v>31583.200000000001</v>
      </c>
      <c r="O899" s="17">
        <v>1939.568754138292</v>
      </c>
      <c r="P899" s="17">
        <v>1269.112179898673</v>
      </c>
      <c r="Q899" s="17">
        <v>28374.519065963039</v>
      </c>
      <c r="R899" s="17">
        <v>17778.16</v>
      </c>
      <c r="S899" s="17">
        <v>10596.359065963041</v>
      </c>
      <c r="T899" s="17">
        <v>4936</v>
      </c>
    </row>
    <row r="900" spans="1:20" x14ac:dyDescent="0.3">
      <c r="A900" s="13">
        <v>45747</v>
      </c>
      <c r="B900" s="7" t="s">
        <v>128</v>
      </c>
      <c r="C900" s="7" t="s">
        <v>31</v>
      </c>
      <c r="D900" s="7" t="s">
        <v>104</v>
      </c>
      <c r="E900" s="7" t="s">
        <v>28</v>
      </c>
      <c r="F900" s="14">
        <v>429</v>
      </c>
      <c r="G900" s="15">
        <v>38.71</v>
      </c>
      <c r="H900" s="16">
        <v>8.4505846053959485E-2</v>
      </c>
      <c r="I900" s="16">
        <v>6.0210074510570713E-2</v>
      </c>
      <c r="J900" s="15">
        <v>22.3</v>
      </c>
      <c r="K900" s="14">
        <v>391</v>
      </c>
      <c r="L900" s="14">
        <v>115</v>
      </c>
      <c r="M900" s="15">
        <v>16.079999999999998</v>
      </c>
      <c r="N900" s="17">
        <v>16606.59</v>
      </c>
      <c r="O900" s="17">
        <v>1403.353938021223</v>
      </c>
      <c r="P900" s="17">
        <v>915.38797609353787</v>
      </c>
      <c r="Q900" s="17">
        <v>14287.84808588524</v>
      </c>
      <c r="R900" s="17">
        <v>9566.7000000000007</v>
      </c>
      <c r="S900" s="17">
        <v>4721.1480858852392</v>
      </c>
      <c r="T900" s="17">
        <v>1849.2</v>
      </c>
    </row>
    <row r="901" spans="1:20" x14ac:dyDescent="0.3">
      <c r="A901" s="13">
        <v>45747</v>
      </c>
      <c r="B901" s="7" t="s">
        <v>128</v>
      </c>
      <c r="C901" s="7" t="s">
        <v>31</v>
      </c>
      <c r="D901" s="7" t="s">
        <v>104</v>
      </c>
      <c r="E901" s="7" t="s">
        <v>30</v>
      </c>
      <c r="F901" s="14">
        <v>369</v>
      </c>
      <c r="G901" s="15">
        <v>35.86</v>
      </c>
      <c r="H901" s="16">
        <v>2.63522738127628E-2</v>
      </c>
      <c r="I901" s="16">
        <v>1.8979351155636419E-2</v>
      </c>
      <c r="J901" s="15">
        <v>23.98</v>
      </c>
      <c r="K901" s="14">
        <v>29</v>
      </c>
      <c r="L901" s="14">
        <v>2</v>
      </c>
      <c r="M901" s="15">
        <v>4.99</v>
      </c>
      <c r="N901" s="17">
        <v>13232.34</v>
      </c>
      <c r="O901" s="17">
        <v>348.70224686357369</v>
      </c>
      <c r="P901" s="17">
        <v>244.52308507879081</v>
      </c>
      <c r="Q901" s="17">
        <v>12639.11466805764</v>
      </c>
      <c r="R901" s="17">
        <v>8848.6200000000008</v>
      </c>
      <c r="S901" s="17">
        <v>3790.4946680576359</v>
      </c>
      <c r="T901" s="17">
        <v>9.98</v>
      </c>
    </row>
    <row r="902" spans="1:20" x14ac:dyDescent="0.3">
      <c r="A902" s="13">
        <v>45777</v>
      </c>
      <c r="B902" s="7" t="s">
        <v>129</v>
      </c>
      <c r="C902" s="7" t="s">
        <v>24</v>
      </c>
      <c r="D902" s="7" t="s">
        <v>102</v>
      </c>
      <c r="E902" s="7" t="s">
        <v>25</v>
      </c>
      <c r="F902" s="14">
        <v>7974</v>
      </c>
      <c r="G902" s="15">
        <v>131.47</v>
      </c>
      <c r="H902" s="16">
        <v>5.0647999484690349E-2</v>
      </c>
      <c r="I902" s="16">
        <v>5.6875480552367942E-2</v>
      </c>
      <c r="J902" s="15">
        <v>74.13</v>
      </c>
      <c r="K902" s="14">
        <v>5488</v>
      </c>
      <c r="L902" s="14">
        <v>2106</v>
      </c>
      <c r="M902" s="15">
        <v>36.19</v>
      </c>
      <c r="N902" s="17">
        <v>1048341.78</v>
      </c>
      <c r="O902" s="17">
        <v>53096.413933219374</v>
      </c>
      <c r="P902" s="17">
        <v>56605.058462565488</v>
      </c>
      <c r="Q902" s="17">
        <v>938640.30760421511</v>
      </c>
      <c r="R902" s="17">
        <v>591112.62</v>
      </c>
      <c r="S902" s="17">
        <v>347527.68760421511</v>
      </c>
      <c r="T902" s="17">
        <v>76216.14</v>
      </c>
    </row>
    <row r="903" spans="1:20" x14ac:dyDescent="0.3">
      <c r="A903" s="13">
        <v>45777</v>
      </c>
      <c r="B903" s="7" t="s">
        <v>129</v>
      </c>
      <c r="C903" s="7" t="s">
        <v>24</v>
      </c>
      <c r="D903" s="7" t="s">
        <v>102</v>
      </c>
      <c r="E903" s="7" t="s">
        <v>28</v>
      </c>
      <c r="F903" s="14">
        <v>3271</v>
      </c>
      <c r="G903" s="15">
        <v>122.42</v>
      </c>
      <c r="H903" s="16">
        <v>7.7403067957974026E-2</v>
      </c>
      <c r="I903" s="16">
        <v>4.5046025603968101E-2</v>
      </c>
      <c r="J903" s="15">
        <v>75.099999999999994</v>
      </c>
      <c r="K903" s="14">
        <v>2866</v>
      </c>
      <c r="L903" s="14">
        <v>847</v>
      </c>
      <c r="M903" s="15">
        <v>16.559999999999999</v>
      </c>
      <c r="N903" s="17">
        <v>400435.82</v>
      </c>
      <c r="O903" s="17">
        <v>30994.960988267059</v>
      </c>
      <c r="P903" s="17">
        <v>16641.842394194489</v>
      </c>
      <c r="Q903" s="17">
        <v>352799.01661753852</v>
      </c>
      <c r="R903" s="17">
        <v>245652.1</v>
      </c>
      <c r="S903" s="17">
        <v>107146.9166175385</v>
      </c>
      <c r="T903" s="17">
        <v>14026.32</v>
      </c>
    </row>
    <row r="904" spans="1:20" x14ac:dyDescent="0.3">
      <c r="A904" s="13">
        <v>45777</v>
      </c>
      <c r="B904" s="7" t="s">
        <v>129</v>
      </c>
      <c r="C904" s="7" t="s">
        <v>24</v>
      </c>
      <c r="D904" s="7" t="s">
        <v>102</v>
      </c>
      <c r="E904" s="7" t="s">
        <v>30</v>
      </c>
      <c r="F904" s="14">
        <v>2512</v>
      </c>
      <c r="G904" s="15">
        <v>104.38</v>
      </c>
      <c r="H904" s="16">
        <v>3.9294070410387023E-2</v>
      </c>
      <c r="I904" s="16">
        <v>2.007513875143549E-2</v>
      </c>
      <c r="J904" s="15">
        <v>69.349999999999994</v>
      </c>
      <c r="K904" s="14">
        <v>204</v>
      </c>
      <c r="L904" s="14">
        <v>13</v>
      </c>
      <c r="M904" s="15">
        <v>3.68</v>
      </c>
      <c r="N904" s="17">
        <v>262202.56</v>
      </c>
      <c r="O904" s="17">
        <v>10303.005854423731</v>
      </c>
      <c r="P904" s="17">
        <v>5056.918500897179</v>
      </c>
      <c r="Q904" s="17">
        <v>246842.6356446791</v>
      </c>
      <c r="R904" s="17">
        <v>174207.2</v>
      </c>
      <c r="S904" s="17">
        <v>72635.435644679092</v>
      </c>
      <c r="T904" s="17">
        <v>47.84</v>
      </c>
    </row>
    <row r="905" spans="1:20" x14ac:dyDescent="0.3">
      <c r="A905" s="13">
        <v>45777</v>
      </c>
      <c r="B905" s="7" t="s">
        <v>129</v>
      </c>
      <c r="C905" s="7" t="s">
        <v>24</v>
      </c>
      <c r="D905" s="7" t="s">
        <v>103</v>
      </c>
      <c r="E905" s="7" t="s">
        <v>25</v>
      </c>
      <c r="F905" s="14">
        <v>3891</v>
      </c>
      <c r="G905" s="15">
        <v>242.84</v>
      </c>
      <c r="H905" s="16">
        <v>6.6472517997198929E-2</v>
      </c>
      <c r="I905" s="16">
        <v>5.8197717873125977E-2</v>
      </c>
      <c r="J905" s="15">
        <v>125.83</v>
      </c>
      <c r="K905" s="14">
        <v>2604</v>
      </c>
      <c r="L905" s="14">
        <v>1052</v>
      </c>
      <c r="M905" s="15">
        <v>35.74</v>
      </c>
      <c r="N905" s="17">
        <v>944890.44000000006</v>
      </c>
      <c r="O905" s="17">
        <v>62809.246778281216</v>
      </c>
      <c r="P905" s="17">
        <v>51335.112424307918</v>
      </c>
      <c r="Q905" s="17">
        <v>830746.08079741092</v>
      </c>
      <c r="R905" s="17">
        <v>489604.53</v>
      </c>
      <c r="S905" s="17">
        <v>341141.55079741089</v>
      </c>
      <c r="T905" s="17">
        <v>37598.480000000003</v>
      </c>
    </row>
    <row r="906" spans="1:20" x14ac:dyDescent="0.3">
      <c r="A906" s="13">
        <v>45777</v>
      </c>
      <c r="B906" s="7" t="s">
        <v>129</v>
      </c>
      <c r="C906" s="7" t="s">
        <v>24</v>
      </c>
      <c r="D906" s="7" t="s">
        <v>103</v>
      </c>
      <c r="E906" s="7" t="s">
        <v>28</v>
      </c>
      <c r="F906" s="14">
        <v>1498</v>
      </c>
      <c r="G906" s="15">
        <v>222.95</v>
      </c>
      <c r="H906" s="16">
        <v>9.521891410372009E-2</v>
      </c>
      <c r="I906" s="16">
        <v>8.0389463990472074E-2</v>
      </c>
      <c r="J906" s="15">
        <v>125.59</v>
      </c>
      <c r="K906" s="14">
        <v>1371</v>
      </c>
      <c r="L906" s="14">
        <v>460</v>
      </c>
      <c r="M906" s="15">
        <v>15.87</v>
      </c>
      <c r="N906" s="17">
        <v>333979.09999999998</v>
      </c>
      <c r="O906" s="17">
        <v>31801.127235337739</v>
      </c>
      <c r="P906" s="17">
        <v>24291.925260278669</v>
      </c>
      <c r="Q906" s="17">
        <v>277886.04750438349</v>
      </c>
      <c r="R906" s="17">
        <v>188133.82</v>
      </c>
      <c r="S906" s="17">
        <v>89752.22750438354</v>
      </c>
      <c r="T906" s="17">
        <v>7300.2</v>
      </c>
    </row>
    <row r="907" spans="1:20" x14ac:dyDescent="0.3">
      <c r="A907" s="13">
        <v>45777</v>
      </c>
      <c r="B907" s="7" t="s">
        <v>129</v>
      </c>
      <c r="C907" s="7" t="s">
        <v>24</v>
      </c>
      <c r="D907" s="7" t="s">
        <v>103</v>
      </c>
      <c r="E907" s="7" t="s">
        <v>30</v>
      </c>
      <c r="F907" s="14">
        <v>1559</v>
      </c>
      <c r="G907" s="15">
        <v>190.37</v>
      </c>
      <c r="H907" s="16">
        <v>2.969396710981962E-2</v>
      </c>
      <c r="I907" s="16">
        <v>2.1180712049395509E-2</v>
      </c>
      <c r="J907" s="15">
        <v>129.57</v>
      </c>
      <c r="K907" s="14">
        <v>130</v>
      </c>
      <c r="L907" s="14">
        <v>8</v>
      </c>
      <c r="M907" s="15">
        <v>4.8</v>
      </c>
      <c r="N907" s="17">
        <v>296786.83</v>
      </c>
      <c r="O907" s="17">
        <v>8812.7783686476287</v>
      </c>
      <c r="P907" s="17">
        <v>6099.4954653014292</v>
      </c>
      <c r="Q907" s="17">
        <v>281874.55616605101</v>
      </c>
      <c r="R907" s="17">
        <v>201999.63</v>
      </c>
      <c r="S907" s="17">
        <v>79874.92616605098</v>
      </c>
      <c r="T907" s="17">
        <v>38.4</v>
      </c>
    </row>
    <row r="908" spans="1:20" x14ac:dyDescent="0.3">
      <c r="A908" s="13">
        <v>45777</v>
      </c>
      <c r="B908" s="7" t="s">
        <v>129</v>
      </c>
      <c r="C908" s="7" t="s">
        <v>24</v>
      </c>
      <c r="D908" s="7" t="s">
        <v>104</v>
      </c>
      <c r="E908" s="7" t="s">
        <v>25</v>
      </c>
      <c r="F908" s="14">
        <v>3794</v>
      </c>
      <c r="G908" s="15">
        <v>48.42</v>
      </c>
      <c r="H908" s="16">
        <v>5.9256666821838389E-2</v>
      </c>
      <c r="I908" s="16">
        <v>4.7699687313352217E-2</v>
      </c>
      <c r="J908" s="15">
        <v>22.59</v>
      </c>
      <c r="K908" s="14">
        <v>2543</v>
      </c>
      <c r="L908" s="14">
        <v>905</v>
      </c>
      <c r="M908" s="15">
        <v>39.880000000000003</v>
      </c>
      <c r="N908" s="17">
        <v>183705.48</v>
      </c>
      <c r="O908" s="17">
        <v>10885.774421705901</v>
      </c>
      <c r="P908" s="17">
        <v>8243.4459176702221</v>
      </c>
      <c r="Q908" s="17">
        <v>164576.25966062391</v>
      </c>
      <c r="R908" s="17">
        <v>85706.46</v>
      </c>
      <c r="S908" s="17">
        <v>78869.799660623903</v>
      </c>
      <c r="T908" s="17">
        <v>36091.4</v>
      </c>
    </row>
    <row r="909" spans="1:20" x14ac:dyDescent="0.3">
      <c r="A909" s="13">
        <v>45777</v>
      </c>
      <c r="B909" s="7" t="s">
        <v>129</v>
      </c>
      <c r="C909" s="7" t="s">
        <v>24</v>
      </c>
      <c r="D909" s="7" t="s">
        <v>104</v>
      </c>
      <c r="E909" s="7" t="s">
        <v>28</v>
      </c>
      <c r="F909" s="14">
        <v>1897</v>
      </c>
      <c r="G909" s="15">
        <v>44.39</v>
      </c>
      <c r="H909" s="16">
        <v>0.1045154908059559</v>
      </c>
      <c r="I909" s="16">
        <v>7.5709146128391941E-2</v>
      </c>
      <c r="J909" s="15">
        <v>23.73</v>
      </c>
      <c r="K909" s="14">
        <v>1578</v>
      </c>
      <c r="L909" s="14">
        <v>509</v>
      </c>
      <c r="M909" s="15">
        <v>17.95</v>
      </c>
      <c r="N909" s="17">
        <v>84207.83</v>
      </c>
      <c r="O909" s="17">
        <v>8801.0226821544948</v>
      </c>
      <c r="P909" s="17">
        <v>5708.98499430226</v>
      </c>
      <c r="Q909" s="17">
        <v>69697.822323543252</v>
      </c>
      <c r="R909" s="17">
        <v>45015.81</v>
      </c>
      <c r="S909" s="17">
        <v>24682.012323543251</v>
      </c>
      <c r="T909" s="17">
        <v>9136.5499999999993</v>
      </c>
    </row>
    <row r="910" spans="1:20" x14ac:dyDescent="0.3">
      <c r="A910" s="13">
        <v>45777</v>
      </c>
      <c r="B910" s="7" t="s">
        <v>129</v>
      </c>
      <c r="C910" s="7" t="s">
        <v>24</v>
      </c>
      <c r="D910" s="7" t="s">
        <v>104</v>
      </c>
      <c r="E910" s="7" t="s">
        <v>30</v>
      </c>
      <c r="F910" s="14">
        <v>626</v>
      </c>
      <c r="G910" s="15">
        <v>38.799999999999997</v>
      </c>
      <c r="H910" s="16">
        <v>4.0733458027282399E-2</v>
      </c>
      <c r="I910" s="16">
        <v>1.7905182772393832E-2</v>
      </c>
      <c r="J910" s="15">
        <v>22.55</v>
      </c>
      <c r="K910" s="14">
        <v>51</v>
      </c>
      <c r="L910" s="14">
        <v>3</v>
      </c>
      <c r="M910" s="15">
        <v>4.05</v>
      </c>
      <c r="N910" s="17">
        <v>24288.799999999999</v>
      </c>
      <c r="O910" s="17">
        <v>989.36681533305671</v>
      </c>
      <c r="P910" s="17">
        <v>417.18060966463958</v>
      </c>
      <c r="Q910" s="17">
        <v>22882.252575002301</v>
      </c>
      <c r="R910" s="17">
        <v>14116.3</v>
      </c>
      <c r="S910" s="17">
        <v>8765.9525750023004</v>
      </c>
      <c r="T910" s="17">
        <v>12.15</v>
      </c>
    </row>
    <row r="911" spans="1:20" x14ac:dyDescent="0.3">
      <c r="A911" s="13">
        <v>45777</v>
      </c>
      <c r="B911" s="7" t="s">
        <v>129</v>
      </c>
      <c r="C911" s="7" t="s">
        <v>27</v>
      </c>
      <c r="D911" s="7" t="s">
        <v>102</v>
      </c>
      <c r="E911" s="7" t="s">
        <v>25</v>
      </c>
      <c r="F911" s="14">
        <v>4958</v>
      </c>
      <c r="G911" s="15">
        <v>137.88</v>
      </c>
      <c r="H911" s="16">
        <v>5.5889721464790779E-2</v>
      </c>
      <c r="I911" s="16">
        <v>4.3389935138094193E-2</v>
      </c>
      <c r="J911" s="15">
        <v>77.58</v>
      </c>
      <c r="K911" s="14">
        <v>3573</v>
      </c>
      <c r="L911" s="14">
        <v>1304</v>
      </c>
      <c r="M911" s="15">
        <v>14.46</v>
      </c>
      <c r="N911" s="17">
        <v>683609.03999999992</v>
      </c>
      <c r="O911" s="17">
        <v>38206.718836413012</v>
      </c>
      <c r="P911" s="17">
        <v>28003.964853263471</v>
      </c>
      <c r="Q911" s="17">
        <v>617398.35631032346</v>
      </c>
      <c r="R911" s="17">
        <v>384641.64</v>
      </c>
      <c r="S911" s="17">
        <v>232756.71631032339</v>
      </c>
      <c r="T911" s="17">
        <v>18855.84</v>
      </c>
    </row>
    <row r="912" spans="1:20" x14ac:dyDescent="0.3">
      <c r="A912" s="13">
        <v>45777</v>
      </c>
      <c r="B912" s="7" t="s">
        <v>129</v>
      </c>
      <c r="C912" s="7" t="s">
        <v>27</v>
      </c>
      <c r="D912" s="7" t="s">
        <v>102</v>
      </c>
      <c r="E912" s="7" t="s">
        <v>28</v>
      </c>
      <c r="F912" s="14">
        <v>3081</v>
      </c>
      <c r="G912" s="15">
        <v>128.11000000000001</v>
      </c>
      <c r="H912" s="16">
        <v>8.3921579264993329E-2</v>
      </c>
      <c r="I912" s="16">
        <v>4.8659939708150933E-2</v>
      </c>
      <c r="J912" s="15">
        <v>77.040000000000006</v>
      </c>
      <c r="K912" s="14">
        <v>2715</v>
      </c>
      <c r="L912" s="14">
        <v>763</v>
      </c>
      <c r="M912" s="15">
        <v>11.69</v>
      </c>
      <c r="N912" s="17">
        <v>394706.91</v>
      </c>
      <c r="O912" s="17">
        <v>33124.42723400559</v>
      </c>
      <c r="P912" s="17">
        <v>17594.58181091681</v>
      </c>
      <c r="Q912" s="17">
        <v>343987.90095507761</v>
      </c>
      <c r="R912" s="17">
        <v>237360.24</v>
      </c>
      <c r="S912" s="17">
        <v>106627.6609550776</v>
      </c>
      <c r="T912" s="17">
        <v>8919.4699999999993</v>
      </c>
    </row>
    <row r="913" spans="1:20" x14ac:dyDescent="0.3">
      <c r="A913" s="13">
        <v>45777</v>
      </c>
      <c r="B913" s="7" t="s">
        <v>129</v>
      </c>
      <c r="C913" s="7" t="s">
        <v>27</v>
      </c>
      <c r="D913" s="7" t="s">
        <v>102</v>
      </c>
      <c r="E913" s="7" t="s">
        <v>30</v>
      </c>
      <c r="F913" s="14">
        <v>1677</v>
      </c>
      <c r="G913" s="15">
        <v>118.1</v>
      </c>
      <c r="H913" s="16">
        <v>4.2132029173540822E-2</v>
      </c>
      <c r="I913" s="16">
        <v>1.095366142705871E-2</v>
      </c>
      <c r="J913" s="15">
        <v>77.989999999999995</v>
      </c>
      <c r="K913" s="14">
        <v>148</v>
      </c>
      <c r="L913" s="14">
        <v>8</v>
      </c>
      <c r="M913" s="15">
        <v>4.8899999999999997</v>
      </c>
      <c r="N913" s="17">
        <v>198053.7</v>
      </c>
      <c r="O913" s="17">
        <v>8344.4042663277014</v>
      </c>
      <c r="P913" s="17">
        <v>2078.0113950323989</v>
      </c>
      <c r="Q913" s="17">
        <v>187631.2843386399</v>
      </c>
      <c r="R913" s="17">
        <v>130789.23</v>
      </c>
      <c r="S913" s="17">
        <v>56842.054338639879</v>
      </c>
      <c r="T913" s="17">
        <v>39.119999999999997</v>
      </c>
    </row>
    <row r="914" spans="1:20" x14ac:dyDescent="0.3">
      <c r="A914" s="13">
        <v>45777</v>
      </c>
      <c r="B914" s="7" t="s">
        <v>129</v>
      </c>
      <c r="C914" s="7" t="s">
        <v>27</v>
      </c>
      <c r="D914" s="7" t="s">
        <v>103</v>
      </c>
      <c r="E914" s="7" t="s">
        <v>25</v>
      </c>
      <c r="F914" s="14">
        <v>2362</v>
      </c>
      <c r="G914" s="15">
        <v>260.61</v>
      </c>
      <c r="H914" s="16">
        <v>7.060427562793202E-2</v>
      </c>
      <c r="I914" s="16">
        <v>4.4081359127783569E-2</v>
      </c>
      <c r="J914" s="15">
        <v>125.78</v>
      </c>
      <c r="K914" s="14">
        <v>1645</v>
      </c>
      <c r="L914" s="14">
        <v>643</v>
      </c>
      <c r="M914" s="15">
        <v>29.27</v>
      </c>
      <c r="N914" s="17">
        <v>615560.82000000007</v>
      </c>
      <c r="O914" s="17">
        <v>43461.225801035856</v>
      </c>
      <c r="P914" s="17">
        <v>25218.927668743789</v>
      </c>
      <c r="Q914" s="17">
        <v>546880.66653022042</v>
      </c>
      <c r="R914" s="17">
        <v>297092.36</v>
      </c>
      <c r="S914" s="17">
        <v>249788.3065302204</v>
      </c>
      <c r="T914" s="17">
        <v>18820.61</v>
      </c>
    </row>
    <row r="915" spans="1:20" x14ac:dyDescent="0.3">
      <c r="A915" s="13">
        <v>45777</v>
      </c>
      <c r="B915" s="7" t="s">
        <v>129</v>
      </c>
      <c r="C915" s="7" t="s">
        <v>27</v>
      </c>
      <c r="D915" s="7" t="s">
        <v>103</v>
      </c>
      <c r="E915" s="7" t="s">
        <v>28</v>
      </c>
      <c r="F915" s="14">
        <v>1979</v>
      </c>
      <c r="G915" s="15">
        <v>249.11</v>
      </c>
      <c r="H915" s="16">
        <v>9.3264327966002591E-2</v>
      </c>
      <c r="I915" s="16">
        <v>6.452110604671675E-2</v>
      </c>
      <c r="J915" s="15">
        <v>131.05000000000001</v>
      </c>
      <c r="K915" s="14">
        <v>1697</v>
      </c>
      <c r="L915" s="14">
        <v>581</v>
      </c>
      <c r="M915" s="15">
        <v>12.37</v>
      </c>
      <c r="N915" s="17">
        <v>492988.69</v>
      </c>
      <c r="O915" s="17">
        <v>45978.258867689983</v>
      </c>
      <c r="P915" s="17">
        <v>28841.607431076351</v>
      </c>
      <c r="Q915" s="17">
        <v>418168.82370123372</v>
      </c>
      <c r="R915" s="17">
        <v>259347.95</v>
      </c>
      <c r="S915" s="17">
        <v>158820.87370123359</v>
      </c>
      <c r="T915" s="17">
        <v>7186.9699999999993</v>
      </c>
    </row>
    <row r="916" spans="1:20" x14ac:dyDescent="0.3">
      <c r="A916" s="13">
        <v>45777</v>
      </c>
      <c r="B916" s="7" t="s">
        <v>129</v>
      </c>
      <c r="C916" s="7" t="s">
        <v>27</v>
      </c>
      <c r="D916" s="7" t="s">
        <v>103</v>
      </c>
      <c r="E916" s="7" t="s">
        <v>30</v>
      </c>
      <c r="F916" s="14">
        <v>935</v>
      </c>
      <c r="G916" s="15">
        <v>212.15</v>
      </c>
      <c r="H916" s="16">
        <v>4.510954627535918E-2</v>
      </c>
      <c r="I916" s="16">
        <v>1.5451597803437619E-2</v>
      </c>
      <c r="J916" s="15">
        <v>129.41999999999999</v>
      </c>
      <c r="K916" s="14">
        <v>82</v>
      </c>
      <c r="L916" s="14">
        <v>5</v>
      </c>
      <c r="M916" s="15">
        <v>4.08</v>
      </c>
      <c r="N916" s="17">
        <v>198360.25</v>
      </c>
      <c r="O916" s="17">
        <v>8947.9408765668159</v>
      </c>
      <c r="P916" s="17">
        <v>2926.7228195956882</v>
      </c>
      <c r="Q916" s="17">
        <v>186485.58630383751</v>
      </c>
      <c r="R916" s="17">
        <v>121007.7</v>
      </c>
      <c r="S916" s="17">
        <v>65477.886303837528</v>
      </c>
      <c r="T916" s="17">
        <v>20.399999999999999</v>
      </c>
    </row>
    <row r="917" spans="1:20" x14ac:dyDescent="0.3">
      <c r="A917" s="13">
        <v>45777</v>
      </c>
      <c r="B917" s="7" t="s">
        <v>129</v>
      </c>
      <c r="C917" s="7" t="s">
        <v>27</v>
      </c>
      <c r="D917" s="7" t="s">
        <v>104</v>
      </c>
      <c r="E917" s="7" t="s">
        <v>25</v>
      </c>
      <c r="F917" s="14">
        <v>1769</v>
      </c>
      <c r="G917" s="15">
        <v>54.24</v>
      </c>
      <c r="H917" s="16">
        <v>5.1760706738187369E-2</v>
      </c>
      <c r="I917" s="16">
        <v>4.1264592190606901E-2</v>
      </c>
      <c r="J917" s="15">
        <v>23.69</v>
      </c>
      <c r="K917" s="14">
        <v>1157</v>
      </c>
      <c r="L917" s="14">
        <v>416</v>
      </c>
      <c r="M917" s="15">
        <v>38.79</v>
      </c>
      <c r="N917" s="17">
        <v>95950.56</v>
      </c>
      <c r="O917" s="17">
        <v>4966.4687975248517</v>
      </c>
      <c r="P917" s="17">
        <v>3754.4214193031221</v>
      </c>
      <c r="Q917" s="17">
        <v>87229.669783172023</v>
      </c>
      <c r="R917" s="17">
        <v>41907.61</v>
      </c>
      <c r="S917" s="17">
        <v>45322.059783172022</v>
      </c>
      <c r="T917" s="17">
        <v>16136.64</v>
      </c>
    </row>
    <row r="918" spans="1:20" x14ac:dyDescent="0.3">
      <c r="A918" s="13">
        <v>45777</v>
      </c>
      <c r="B918" s="7" t="s">
        <v>129</v>
      </c>
      <c r="C918" s="7" t="s">
        <v>27</v>
      </c>
      <c r="D918" s="7" t="s">
        <v>104</v>
      </c>
      <c r="E918" s="7" t="s">
        <v>28</v>
      </c>
      <c r="F918" s="14">
        <v>1180</v>
      </c>
      <c r="G918" s="15">
        <v>48.95</v>
      </c>
      <c r="H918" s="16">
        <v>7.3909691493418125E-2</v>
      </c>
      <c r="I918" s="16">
        <v>8.9152933216832958E-2</v>
      </c>
      <c r="J918" s="15">
        <v>23.5</v>
      </c>
      <c r="K918" s="14">
        <v>1017</v>
      </c>
      <c r="L918" s="14">
        <v>311</v>
      </c>
      <c r="M918" s="15">
        <v>20.149999999999999</v>
      </c>
      <c r="N918" s="17">
        <v>57761</v>
      </c>
      <c r="O918" s="17">
        <v>4269.0976903513247</v>
      </c>
      <c r="P918" s="17">
        <v>4768.9599942534614</v>
      </c>
      <c r="Q918" s="17">
        <v>48722.942315395223</v>
      </c>
      <c r="R918" s="17">
        <v>27730</v>
      </c>
      <c r="S918" s="17">
        <v>20992.942315395219</v>
      </c>
      <c r="T918" s="17">
        <v>6266.65</v>
      </c>
    </row>
    <row r="919" spans="1:20" x14ac:dyDescent="0.3">
      <c r="A919" s="13">
        <v>45777</v>
      </c>
      <c r="B919" s="7" t="s">
        <v>129</v>
      </c>
      <c r="C919" s="7" t="s">
        <v>27</v>
      </c>
      <c r="D919" s="7" t="s">
        <v>104</v>
      </c>
      <c r="E919" s="7" t="s">
        <v>30</v>
      </c>
      <c r="F919" s="14">
        <v>902</v>
      </c>
      <c r="G919" s="15">
        <v>43.77</v>
      </c>
      <c r="H919" s="16">
        <v>5.0367783012290598E-2</v>
      </c>
      <c r="I919" s="16">
        <v>1.7653267667866439E-2</v>
      </c>
      <c r="J919" s="15">
        <v>23.12</v>
      </c>
      <c r="K919" s="14">
        <v>73</v>
      </c>
      <c r="L919" s="14">
        <v>5</v>
      </c>
      <c r="M919" s="15">
        <v>4.55</v>
      </c>
      <c r="N919" s="17">
        <v>39480.54</v>
      </c>
      <c r="O919" s="17">
        <v>1988.547271928059</v>
      </c>
      <c r="P919" s="17">
        <v>661.85618303035619</v>
      </c>
      <c r="Q919" s="17">
        <v>36830.136545041583</v>
      </c>
      <c r="R919" s="17">
        <v>20854.240000000002</v>
      </c>
      <c r="S919" s="17">
        <v>15975.89654504158</v>
      </c>
      <c r="T919" s="17">
        <v>22.75</v>
      </c>
    </row>
    <row r="920" spans="1:20" x14ac:dyDescent="0.3">
      <c r="A920" s="13">
        <v>45777</v>
      </c>
      <c r="B920" s="7" t="s">
        <v>129</v>
      </c>
      <c r="C920" s="7" t="s">
        <v>29</v>
      </c>
      <c r="D920" s="7" t="s">
        <v>102</v>
      </c>
      <c r="E920" s="7" t="s">
        <v>25</v>
      </c>
      <c r="F920" s="14">
        <v>4601</v>
      </c>
      <c r="G920" s="15">
        <v>117</v>
      </c>
      <c r="H920" s="16">
        <v>6.4234346965161962E-2</v>
      </c>
      <c r="I920" s="16">
        <v>5.9723444790822013E-2</v>
      </c>
      <c r="J920" s="15">
        <v>73.12</v>
      </c>
      <c r="K920" s="14">
        <v>3180</v>
      </c>
      <c r="L920" s="14">
        <v>1180</v>
      </c>
      <c r="M920" s="15">
        <v>35.51</v>
      </c>
      <c r="N920" s="17">
        <v>538317</v>
      </c>
      <c r="O920" s="17">
        <v>34578.440955245089</v>
      </c>
      <c r="P920" s="17">
        <v>30085.002020117648</v>
      </c>
      <c r="Q920" s="17">
        <v>473653.55702463718</v>
      </c>
      <c r="R920" s="17">
        <v>336425.12</v>
      </c>
      <c r="S920" s="17">
        <v>137228.43702463721</v>
      </c>
      <c r="T920" s="17">
        <v>41901.800000000003</v>
      </c>
    </row>
    <row r="921" spans="1:20" x14ac:dyDescent="0.3">
      <c r="A921" s="13">
        <v>45777</v>
      </c>
      <c r="B921" s="7" t="s">
        <v>129</v>
      </c>
      <c r="C921" s="7" t="s">
        <v>29</v>
      </c>
      <c r="D921" s="7" t="s">
        <v>102</v>
      </c>
      <c r="E921" s="7" t="s">
        <v>28</v>
      </c>
      <c r="F921" s="14">
        <v>2233</v>
      </c>
      <c r="G921" s="15">
        <v>116.63</v>
      </c>
      <c r="H921" s="16">
        <v>8.5778858209680772E-2</v>
      </c>
      <c r="I921" s="16">
        <v>4.8060166349868691E-2</v>
      </c>
      <c r="J921" s="15">
        <v>71.569999999999993</v>
      </c>
      <c r="K921" s="14">
        <v>1890</v>
      </c>
      <c r="L921" s="14">
        <v>599</v>
      </c>
      <c r="M921" s="15">
        <v>19.02</v>
      </c>
      <c r="N921" s="17">
        <v>260434.79</v>
      </c>
      <c r="O921" s="17">
        <v>22339.798924277991</v>
      </c>
      <c r="P921" s="17">
        <v>11442.8848781697</v>
      </c>
      <c r="Q921" s="17">
        <v>226652.10619755229</v>
      </c>
      <c r="R921" s="17">
        <v>159815.81</v>
      </c>
      <c r="S921" s="17">
        <v>66836.296197552292</v>
      </c>
      <c r="T921" s="17">
        <v>11392.98</v>
      </c>
    </row>
    <row r="922" spans="1:20" x14ac:dyDescent="0.3">
      <c r="A922" s="13">
        <v>45777</v>
      </c>
      <c r="B922" s="7" t="s">
        <v>129</v>
      </c>
      <c r="C922" s="7" t="s">
        <v>29</v>
      </c>
      <c r="D922" s="7" t="s">
        <v>102</v>
      </c>
      <c r="E922" s="7" t="s">
        <v>30</v>
      </c>
      <c r="F922" s="14">
        <v>1522</v>
      </c>
      <c r="G922" s="15">
        <v>102.85</v>
      </c>
      <c r="H922" s="16">
        <v>4.7696769813033883E-2</v>
      </c>
      <c r="I922" s="16">
        <v>2.039003709239429E-2</v>
      </c>
      <c r="J922" s="15">
        <v>69.28</v>
      </c>
      <c r="K922" s="14">
        <v>128</v>
      </c>
      <c r="L922" s="14">
        <v>8</v>
      </c>
      <c r="M922" s="15">
        <v>4.6900000000000004</v>
      </c>
      <c r="N922" s="17">
        <v>156537.70000000001</v>
      </c>
      <c r="O922" s="17">
        <v>7466.3426439617533</v>
      </c>
      <c r="P922" s="17">
        <v>3039.5705059031829</v>
      </c>
      <c r="Q922" s="17">
        <v>146031.78685013499</v>
      </c>
      <c r="R922" s="17">
        <v>105444.16</v>
      </c>
      <c r="S922" s="17">
        <v>40587.626850135042</v>
      </c>
      <c r="T922" s="17">
        <v>37.520000000000003</v>
      </c>
    </row>
    <row r="923" spans="1:20" x14ac:dyDescent="0.3">
      <c r="A923" s="13">
        <v>45777</v>
      </c>
      <c r="B923" s="7" t="s">
        <v>129</v>
      </c>
      <c r="C923" s="7" t="s">
        <v>29</v>
      </c>
      <c r="D923" s="7" t="s">
        <v>103</v>
      </c>
      <c r="E923" s="7" t="s">
        <v>25</v>
      </c>
      <c r="F923" s="14">
        <v>2030</v>
      </c>
      <c r="G923" s="15">
        <v>226.05</v>
      </c>
      <c r="H923" s="16">
        <v>6.3432175511222558E-2</v>
      </c>
      <c r="I923" s="16">
        <v>5.3655264625262662E-2</v>
      </c>
      <c r="J923" s="15">
        <v>121.29</v>
      </c>
      <c r="K923" s="14">
        <v>1297</v>
      </c>
      <c r="L923" s="14">
        <v>534</v>
      </c>
      <c r="M923" s="15">
        <v>35.31</v>
      </c>
      <c r="N923" s="17">
        <v>458881.5</v>
      </c>
      <c r="O923" s="17">
        <v>29107.851846853071</v>
      </c>
      <c r="P923" s="17">
        <v>23059.618820621621</v>
      </c>
      <c r="Q923" s="17">
        <v>406714.02933252527</v>
      </c>
      <c r="R923" s="17">
        <v>246218.7</v>
      </c>
      <c r="S923" s="17">
        <v>160495.32933252529</v>
      </c>
      <c r="T923" s="17">
        <v>18855.54</v>
      </c>
    </row>
    <row r="924" spans="1:20" x14ac:dyDescent="0.3">
      <c r="A924" s="13">
        <v>45777</v>
      </c>
      <c r="B924" s="7" t="s">
        <v>129</v>
      </c>
      <c r="C924" s="7" t="s">
        <v>29</v>
      </c>
      <c r="D924" s="7" t="s">
        <v>103</v>
      </c>
      <c r="E924" s="7" t="s">
        <v>28</v>
      </c>
      <c r="F924" s="14">
        <v>898</v>
      </c>
      <c r="G924" s="15">
        <v>220.55</v>
      </c>
      <c r="H924" s="16">
        <v>8.4930749458979798E-2</v>
      </c>
      <c r="I924" s="16">
        <v>7.0491963703435523E-2</v>
      </c>
      <c r="J924" s="15">
        <v>116.67</v>
      </c>
      <c r="K924" s="14">
        <v>743</v>
      </c>
      <c r="L924" s="14">
        <v>213</v>
      </c>
      <c r="M924" s="15">
        <v>21.82</v>
      </c>
      <c r="N924" s="17">
        <v>198053.9</v>
      </c>
      <c r="O924" s="17">
        <v>16820.866160273839</v>
      </c>
      <c r="P924" s="17">
        <v>12775.47244329348</v>
      </c>
      <c r="Q924" s="17">
        <v>168457.56139643269</v>
      </c>
      <c r="R924" s="17">
        <v>104769.66</v>
      </c>
      <c r="S924" s="17">
        <v>63687.901396432688</v>
      </c>
      <c r="T924" s="17">
        <v>4647.66</v>
      </c>
    </row>
    <row r="925" spans="1:20" x14ac:dyDescent="0.3">
      <c r="A925" s="13">
        <v>45777</v>
      </c>
      <c r="B925" s="7" t="s">
        <v>129</v>
      </c>
      <c r="C925" s="7" t="s">
        <v>29</v>
      </c>
      <c r="D925" s="7" t="s">
        <v>103</v>
      </c>
      <c r="E925" s="7" t="s">
        <v>30</v>
      </c>
      <c r="F925" s="14">
        <v>885</v>
      </c>
      <c r="G925" s="15">
        <v>186.55</v>
      </c>
      <c r="H925" s="16">
        <v>5.3732743965281743E-2</v>
      </c>
      <c r="I925" s="16">
        <v>1.118381650548257E-2</v>
      </c>
      <c r="J925" s="15">
        <v>126.52</v>
      </c>
      <c r="K925" s="14">
        <v>74</v>
      </c>
      <c r="L925" s="14">
        <v>4</v>
      </c>
      <c r="M925" s="15">
        <v>4.18</v>
      </c>
      <c r="N925" s="17">
        <v>165096.75</v>
      </c>
      <c r="O925" s="17">
        <v>8871.1013972501278</v>
      </c>
      <c r="P925" s="17">
        <v>1747.198987423154</v>
      </c>
      <c r="Q925" s="17">
        <v>154478.44961532671</v>
      </c>
      <c r="R925" s="17">
        <v>111970.2</v>
      </c>
      <c r="S925" s="17">
        <v>42508.249615326713</v>
      </c>
      <c r="T925" s="17">
        <v>16.72</v>
      </c>
    </row>
    <row r="926" spans="1:20" x14ac:dyDescent="0.3">
      <c r="A926" s="13">
        <v>45777</v>
      </c>
      <c r="B926" s="7" t="s">
        <v>129</v>
      </c>
      <c r="C926" s="7" t="s">
        <v>29</v>
      </c>
      <c r="D926" s="7" t="s">
        <v>104</v>
      </c>
      <c r="E926" s="7" t="s">
        <v>25</v>
      </c>
      <c r="F926" s="14">
        <v>1606</v>
      </c>
      <c r="G926" s="15">
        <v>46.06</v>
      </c>
      <c r="H926" s="16">
        <v>4.9792459692499881E-2</v>
      </c>
      <c r="I926" s="16">
        <v>5.0291804361279668E-2</v>
      </c>
      <c r="J926" s="15">
        <v>21.44</v>
      </c>
      <c r="K926" s="14">
        <v>1097</v>
      </c>
      <c r="L926" s="14">
        <v>406</v>
      </c>
      <c r="M926" s="15">
        <v>35.11</v>
      </c>
      <c r="N926" s="17">
        <v>73972.36</v>
      </c>
      <c r="O926" s="17">
        <v>3683.26575365909</v>
      </c>
      <c r="P926" s="17">
        <v>3534.9653765685262</v>
      </c>
      <c r="Q926" s="17">
        <v>66754.128869772394</v>
      </c>
      <c r="R926" s="17">
        <v>34432.639999999999</v>
      </c>
      <c r="S926" s="17">
        <v>32321.488869772391</v>
      </c>
      <c r="T926" s="17">
        <v>14254.66</v>
      </c>
    </row>
    <row r="927" spans="1:20" x14ac:dyDescent="0.3">
      <c r="A927" s="13">
        <v>45777</v>
      </c>
      <c r="B927" s="7" t="s">
        <v>129</v>
      </c>
      <c r="C927" s="7" t="s">
        <v>29</v>
      </c>
      <c r="D927" s="7" t="s">
        <v>104</v>
      </c>
      <c r="E927" s="7" t="s">
        <v>28</v>
      </c>
      <c r="F927" s="14">
        <v>691</v>
      </c>
      <c r="G927" s="15">
        <v>41.62</v>
      </c>
      <c r="H927" s="16">
        <v>9.0536136593215064E-2</v>
      </c>
      <c r="I927" s="16">
        <v>3.8656846382826682E-2</v>
      </c>
      <c r="J927" s="15">
        <v>22.98</v>
      </c>
      <c r="K927" s="14">
        <v>549</v>
      </c>
      <c r="L927" s="14">
        <v>167</v>
      </c>
      <c r="M927" s="15">
        <v>15.01</v>
      </c>
      <c r="N927" s="17">
        <v>28759.42</v>
      </c>
      <c r="O927" s="17">
        <v>2603.7667774616411</v>
      </c>
      <c r="P927" s="17">
        <v>1011.095068666151</v>
      </c>
      <c r="Q927" s="17">
        <v>25144.5581538722</v>
      </c>
      <c r="R927" s="17">
        <v>15879.18</v>
      </c>
      <c r="S927" s="17">
        <v>9265.3781538722033</v>
      </c>
      <c r="T927" s="17">
        <v>2506.67</v>
      </c>
    </row>
    <row r="928" spans="1:20" x14ac:dyDescent="0.3">
      <c r="A928" s="13">
        <v>45777</v>
      </c>
      <c r="B928" s="7" t="s">
        <v>129</v>
      </c>
      <c r="C928" s="7" t="s">
        <v>29</v>
      </c>
      <c r="D928" s="7" t="s">
        <v>104</v>
      </c>
      <c r="E928" s="7" t="s">
        <v>30</v>
      </c>
      <c r="F928" s="14">
        <v>540</v>
      </c>
      <c r="G928" s="15">
        <v>37.729999999999997</v>
      </c>
      <c r="H928" s="16">
        <v>3.0917016992530879E-2</v>
      </c>
      <c r="I928" s="16">
        <v>2.315437801798078E-2</v>
      </c>
      <c r="J928" s="15">
        <v>23.86</v>
      </c>
      <c r="K928" s="14">
        <v>46</v>
      </c>
      <c r="L928" s="14">
        <v>3</v>
      </c>
      <c r="M928" s="15">
        <v>7.51</v>
      </c>
      <c r="N928" s="17">
        <v>20374.2</v>
      </c>
      <c r="O928" s="17">
        <v>629.90948760922254</v>
      </c>
      <c r="P928" s="17">
        <v>457.16676622072742</v>
      </c>
      <c r="Q928" s="17">
        <v>19287.12374617004</v>
      </c>
      <c r="R928" s="17">
        <v>12884.4</v>
      </c>
      <c r="S928" s="17">
        <v>6402.7237461700443</v>
      </c>
      <c r="T928" s="17">
        <v>22.53</v>
      </c>
    </row>
    <row r="929" spans="1:20" x14ac:dyDescent="0.3">
      <c r="A929" s="13">
        <v>45777</v>
      </c>
      <c r="B929" s="7" t="s">
        <v>129</v>
      </c>
      <c r="C929" s="7" t="s">
        <v>31</v>
      </c>
      <c r="D929" s="7" t="s">
        <v>102</v>
      </c>
      <c r="E929" s="7" t="s">
        <v>25</v>
      </c>
      <c r="F929" s="14">
        <v>2047</v>
      </c>
      <c r="G929" s="15">
        <v>118.09</v>
      </c>
      <c r="H929" s="16">
        <v>6.698605654251695E-2</v>
      </c>
      <c r="I929" s="16">
        <v>3.516066555048767E-2</v>
      </c>
      <c r="J929" s="15">
        <v>72.5</v>
      </c>
      <c r="K929" s="14">
        <v>1456</v>
      </c>
      <c r="L929" s="14">
        <v>494</v>
      </c>
      <c r="M929" s="15">
        <v>30.53</v>
      </c>
      <c r="N929" s="17">
        <v>241730.23</v>
      </c>
      <c r="O929" s="17">
        <v>16192.554854815629</v>
      </c>
      <c r="P929" s="17">
        <v>7930.0547648143638</v>
      </c>
      <c r="Q929" s="17">
        <v>217607.62038037</v>
      </c>
      <c r="R929" s="17">
        <v>148407.5</v>
      </c>
      <c r="S929" s="17">
        <v>69200.120380370034</v>
      </c>
      <c r="T929" s="17">
        <v>15081.82</v>
      </c>
    </row>
    <row r="930" spans="1:20" x14ac:dyDescent="0.3">
      <c r="A930" s="13">
        <v>45777</v>
      </c>
      <c r="B930" s="7" t="s">
        <v>129</v>
      </c>
      <c r="C930" s="7" t="s">
        <v>31</v>
      </c>
      <c r="D930" s="7" t="s">
        <v>102</v>
      </c>
      <c r="E930" s="7" t="s">
        <v>28</v>
      </c>
      <c r="F930" s="14">
        <v>843</v>
      </c>
      <c r="G930" s="15">
        <v>109.72</v>
      </c>
      <c r="H930" s="16">
        <v>7.5744137538987608E-2</v>
      </c>
      <c r="I930" s="16">
        <v>4.4249178152652197E-2</v>
      </c>
      <c r="J930" s="15">
        <v>68</v>
      </c>
      <c r="K930" s="14">
        <v>716</v>
      </c>
      <c r="L930" s="14">
        <v>201</v>
      </c>
      <c r="M930" s="15">
        <v>20.46</v>
      </c>
      <c r="N930" s="17">
        <v>92493.959999999992</v>
      </c>
      <c r="O930" s="17">
        <v>7005.8752277656176</v>
      </c>
      <c r="P930" s="17">
        <v>3782.7774930156329</v>
      </c>
      <c r="Q930" s="17">
        <v>81705.307279218745</v>
      </c>
      <c r="R930" s="17">
        <v>57324</v>
      </c>
      <c r="S930" s="17">
        <v>24381.307279218741</v>
      </c>
      <c r="T930" s="17">
        <v>4112.46</v>
      </c>
    </row>
    <row r="931" spans="1:20" x14ac:dyDescent="0.3">
      <c r="A931" s="13">
        <v>45777</v>
      </c>
      <c r="B931" s="7" t="s">
        <v>129</v>
      </c>
      <c r="C931" s="7" t="s">
        <v>31</v>
      </c>
      <c r="D931" s="7" t="s">
        <v>102</v>
      </c>
      <c r="E931" s="7" t="s">
        <v>30</v>
      </c>
      <c r="F931" s="14">
        <v>655</v>
      </c>
      <c r="G931" s="15">
        <v>93.25</v>
      </c>
      <c r="H931" s="16">
        <v>3.291416509801369E-2</v>
      </c>
      <c r="I931" s="16">
        <v>1.4241594454828281E-2</v>
      </c>
      <c r="J931" s="15">
        <v>74.33</v>
      </c>
      <c r="K931" s="14">
        <v>52</v>
      </c>
      <c r="L931" s="14">
        <v>3</v>
      </c>
      <c r="M931" s="15">
        <v>4.2300000000000004</v>
      </c>
      <c r="N931" s="17">
        <v>61078.75</v>
      </c>
      <c r="O931" s="17">
        <v>2010.3560614803041</v>
      </c>
      <c r="P931" s="17">
        <v>841.22811157043475</v>
      </c>
      <c r="Q931" s="17">
        <v>58227.165826949262</v>
      </c>
      <c r="R931" s="17">
        <v>48686.15</v>
      </c>
      <c r="S931" s="17">
        <v>9541.0158269492604</v>
      </c>
      <c r="T931" s="17">
        <v>12.69</v>
      </c>
    </row>
    <row r="932" spans="1:20" x14ac:dyDescent="0.3">
      <c r="A932" s="13">
        <v>45777</v>
      </c>
      <c r="B932" s="7" t="s">
        <v>129</v>
      </c>
      <c r="C932" s="7" t="s">
        <v>31</v>
      </c>
      <c r="D932" s="7" t="s">
        <v>103</v>
      </c>
      <c r="E932" s="7" t="s">
        <v>25</v>
      </c>
      <c r="F932" s="14">
        <v>864</v>
      </c>
      <c r="G932" s="15">
        <v>211.9</v>
      </c>
      <c r="H932" s="16">
        <v>6.8533286554248452E-2</v>
      </c>
      <c r="I932" s="16">
        <v>3.6940455684684077E-2</v>
      </c>
      <c r="J932" s="15">
        <v>115.39</v>
      </c>
      <c r="K932" s="14">
        <v>587</v>
      </c>
      <c r="L932" s="14">
        <v>217</v>
      </c>
      <c r="M932" s="15">
        <v>39.340000000000003</v>
      </c>
      <c r="N932" s="17">
        <v>183081.60000000001</v>
      </c>
      <c r="O932" s="17">
        <v>12547.183755610289</v>
      </c>
      <c r="P932" s="17">
        <v>6299.6190459893469</v>
      </c>
      <c r="Q932" s="17">
        <v>164234.7971984004</v>
      </c>
      <c r="R932" s="17">
        <v>99696.960000000006</v>
      </c>
      <c r="S932" s="17">
        <v>64537.837198400361</v>
      </c>
      <c r="T932" s="17">
        <v>8536.7800000000007</v>
      </c>
    </row>
    <row r="933" spans="1:20" x14ac:dyDescent="0.3">
      <c r="A933" s="13">
        <v>45777</v>
      </c>
      <c r="B933" s="7" t="s">
        <v>129</v>
      </c>
      <c r="C933" s="7" t="s">
        <v>31</v>
      </c>
      <c r="D933" s="7" t="s">
        <v>103</v>
      </c>
      <c r="E933" s="7" t="s">
        <v>28</v>
      </c>
      <c r="F933" s="14">
        <v>409</v>
      </c>
      <c r="G933" s="15">
        <v>197.09</v>
      </c>
      <c r="H933" s="16">
        <v>0.11590118550732879</v>
      </c>
      <c r="I933" s="16">
        <v>5.4701037968427617E-2</v>
      </c>
      <c r="J933" s="15">
        <v>119.03</v>
      </c>
      <c r="K933" s="14">
        <v>364</v>
      </c>
      <c r="L933" s="14">
        <v>94</v>
      </c>
      <c r="M933" s="15">
        <v>18.96</v>
      </c>
      <c r="N933" s="17">
        <v>80609.81</v>
      </c>
      <c r="O933" s="17">
        <v>9342.7725425205281</v>
      </c>
      <c r="P933" s="17">
        <v>3898.3809218589381</v>
      </c>
      <c r="Q933" s="17">
        <v>67368.656535620525</v>
      </c>
      <c r="R933" s="17">
        <v>48683.27</v>
      </c>
      <c r="S933" s="17">
        <v>18685.386535620521</v>
      </c>
      <c r="T933" s="17">
        <v>1782.24</v>
      </c>
    </row>
    <row r="934" spans="1:20" x14ac:dyDescent="0.3">
      <c r="A934" s="13">
        <v>45777</v>
      </c>
      <c r="B934" s="7" t="s">
        <v>129</v>
      </c>
      <c r="C934" s="7" t="s">
        <v>31</v>
      </c>
      <c r="D934" s="7" t="s">
        <v>103</v>
      </c>
      <c r="E934" s="7" t="s">
        <v>30</v>
      </c>
      <c r="F934" s="14">
        <v>301</v>
      </c>
      <c r="G934" s="15">
        <v>168.41</v>
      </c>
      <c r="H934" s="16">
        <v>4.7373139301203362E-2</v>
      </c>
      <c r="I934" s="16">
        <v>2.230539016148218E-2</v>
      </c>
      <c r="J934" s="15">
        <v>120.74</v>
      </c>
      <c r="K934" s="14">
        <v>25</v>
      </c>
      <c r="L934" s="14">
        <v>1</v>
      </c>
      <c r="M934" s="15">
        <v>5.73</v>
      </c>
      <c r="N934" s="17">
        <v>50691.41</v>
      </c>
      <c r="O934" s="17">
        <v>2401.411227304412</v>
      </c>
      <c r="P934" s="17">
        <v>1077.12726352247</v>
      </c>
      <c r="Q934" s="17">
        <v>47212.871509173106</v>
      </c>
      <c r="R934" s="17">
        <v>36342.74</v>
      </c>
      <c r="S934" s="17">
        <v>10870.131509173119</v>
      </c>
      <c r="T934" s="17">
        <v>5.73</v>
      </c>
    </row>
    <row r="935" spans="1:20" x14ac:dyDescent="0.3">
      <c r="A935" s="13">
        <v>45777</v>
      </c>
      <c r="B935" s="7" t="s">
        <v>129</v>
      </c>
      <c r="C935" s="7" t="s">
        <v>31</v>
      </c>
      <c r="D935" s="7" t="s">
        <v>104</v>
      </c>
      <c r="E935" s="7" t="s">
        <v>25</v>
      </c>
      <c r="F935" s="14">
        <v>698</v>
      </c>
      <c r="G935" s="15">
        <v>42.68</v>
      </c>
      <c r="H935" s="16">
        <v>5.0467094624643882E-2</v>
      </c>
      <c r="I935" s="16">
        <v>3.4997389834133252E-2</v>
      </c>
      <c r="J935" s="15">
        <v>21.63</v>
      </c>
      <c r="K935" s="14">
        <v>466</v>
      </c>
      <c r="L935" s="14">
        <v>171</v>
      </c>
      <c r="M935" s="15">
        <v>44.24</v>
      </c>
      <c r="N935" s="17">
        <v>29790.639999999999</v>
      </c>
      <c r="O935" s="17">
        <v>1503.447047808701</v>
      </c>
      <c r="P935" s="17">
        <v>989.97791906118528</v>
      </c>
      <c r="Q935" s="17">
        <v>27297.215033130109</v>
      </c>
      <c r="R935" s="17">
        <v>15097.74</v>
      </c>
      <c r="S935" s="17">
        <v>12199.475033130109</v>
      </c>
      <c r="T935" s="17">
        <v>7565.04</v>
      </c>
    </row>
    <row r="936" spans="1:20" x14ac:dyDescent="0.3">
      <c r="A936" s="13">
        <v>45777</v>
      </c>
      <c r="B936" s="7" t="s">
        <v>129</v>
      </c>
      <c r="C936" s="7" t="s">
        <v>31</v>
      </c>
      <c r="D936" s="7" t="s">
        <v>104</v>
      </c>
      <c r="E936" s="7" t="s">
        <v>28</v>
      </c>
      <c r="F936" s="14">
        <v>202</v>
      </c>
      <c r="G936" s="15">
        <v>40.24</v>
      </c>
      <c r="H936" s="16">
        <v>0.1001711358911847</v>
      </c>
      <c r="I936" s="16">
        <v>6.1497394726496513E-2</v>
      </c>
      <c r="J936" s="15">
        <v>21.53</v>
      </c>
      <c r="K936" s="14">
        <v>167</v>
      </c>
      <c r="L936" s="14">
        <v>55</v>
      </c>
      <c r="M936" s="15">
        <v>10.74</v>
      </c>
      <c r="N936" s="17">
        <v>8128.48</v>
      </c>
      <c r="O936" s="17">
        <v>814.23907466877745</v>
      </c>
      <c r="P936" s="17">
        <v>449.80676130978941</v>
      </c>
      <c r="Q936" s="17">
        <v>6864.4341640214343</v>
      </c>
      <c r="R936" s="17">
        <v>4349.0600000000004</v>
      </c>
      <c r="S936" s="17">
        <v>2515.3741640214339</v>
      </c>
      <c r="T936" s="17">
        <v>590.70000000000005</v>
      </c>
    </row>
    <row r="937" spans="1:20" x14ac:dyDescent="0.3">
      <c r="A937" s="13">
        <v>45777</v>
      </c>
      <c r="B937" s="7" t="s">
        <v>129</v>
      </c>
      <c r="C937" s="7" t="s">
        <v>31</v>
      </c>
      <c r="D937" s="7" t="s">
        <v>104</v>
      </c>
      <c r="E937" s="7" t="s">
        <v>30</v>
      </c>
      <c r="F937" s="14">
        <v>276</v>
      </c>
      <c r="G937" s="15">
        <v>34.56</v>
      </c>
      <c r="H937" s="16">
        <v>5.0469168439740968E-2</v>
      </c>
      <c r="I937" s="16">
        <v>3.2024187711269872E-2</v>
      </c>
      <c r="J937" s="15">
        <v>22.11</v>
      </c>
      <c r="K937" s="14">
        <v>22</v>
      </c>
      <c r="L937" s="14">
        <v>1</v>
      </c>
      <c r="M937" s="15">
        <v>4.58</v>
      </c>
      <c r="N937" s="17">
        <v>9538.5600000000013</v>
      </c>
      <c r="O937" s="17">
        <v>481.40319131257559</v>
      </c>
      <c r="P937" s="17">
        <v>290.04808977181199</v>
      </c>
      <c r="Q937" s="17">
        <v>8767.1087189156133</v>
      </c>
      <c r="R937" s="17">
        <v>6102.36</v>
      </c>
      <c r="S937" s="17">
        <v>2664.7487189156141</v>
      </c>
      <c r="T937" s="17">
        <v>4.58</v>
      </c>
    </row>
    <row r="938" spans="1:20" x14ac:dyDescent="0.3">
      <c r="A938" s="13">
        <v>45808</v>
      </c>
      <c r="B938" s="7" t="s">
        <v>130</v>
      </c>
      <c r="C938" s="7" t="s">
        <v>24</v>
      </c>
      <c r="D938" s="7" t="s">
        <v>102</v>
      </c>
      <c r="E938" s="7" t="s">
        <v>25</v>
      </c>
      <c r="F938" s="14">
        <v>9101</v>
      </c>
      <c r="G938" s="15">
        <v>122</v>
      </c>
      <c r="H938" s="16">
        <v>6.6030447046339702E-2</v>
      </c>
      <c r="I938" s="16">
        <v>4.9853997114500503E-2</v>
      </c>
      <c r="J938" s="15">
        <v>70.22</v>
      </c>
      <c r="K938" s="14">
        <v>6724</v>
      </c>
      <c r="L938" s="14">
        <v>2517</v>
      </c>
      <c r="M938" s="15">
        <v>33.020000000000003</v>
      </c>
      <c r="N938" s="17">
        <v>1110322</v>
      </c>
      <c r="O938" s="17">
        <v>73315.058025385995</v>
      </c>
      <c r="P938" s="17">
        <v>51698.941092919391</v>
      </c>
      <c r="Q938" s="17">
        <v>985308.00088169461</v>
      </c>
      <c r="R938" s="17">
        <v>639072.22</v>
      </c>
      <c r="S938" s="17">
        <v>346235.78088169458</v>
      </c>
      <c r="T938" s="17">
        <v>83111.340000000011</v>
      </c>
    </row>
    <row r="939" spans="1:20" x14ac:dyDescent="0.3">
      <c r="A939" s="13">
        <v>45808</v>
      </c>
      <c r="B939" s="7" t="s">
        <v>130</v>
      </c>
      <c r="C939" s="7" t="s">
        <v>24</v>
      </c>
      <c r="D939" s="7" t="s">
        <v>102</v>
      </c>
      <c r="E939" s="7" t="s">
        <v>28</v>
      </c>
      <c r="F939" s="14">
        <v>4124</v>
      </c>
      <c r="G939" s="15">
        <v>125.03</v>
      </c>
      <c r="H939" s="16">
        <v>8.4554373429422791E-2</v>
      </c>
      <c r="I939" s="16">
        <v>3.7722207559501023E-2</v>
      </c>
      <c r="J939" s="15">
        <v>69.2</v>
      </c>
      <c r="K939" s="14">
        <v>3427</v>
      </c>
      <c r="L939" s="14">
        <v>979</v>
      </c>
      <c r="M939" s="15">
        <v>22.09</v>
      </c>
      <c r="N939" s="17">
        <v>515623.72</v>
      </c>
      <c r="O939" s="17">
        <v>43598.240569948139</v>
      </c>
      <c r="P939" s="17">
        <v>17805.84310843339</v>
      </c>
      <c r="Q939" s="17">
        <v>454219.63632161851</v>
      </c>
      <c r="R939" s="17">
        <v>285380.8</v>
      </c>
      <c r="S939" s="17">
        <v>168838.8363216185</v>
      </c>
      <c r="T939" s="17">
        <v>21626.11</v>
      </c>
    </row>
    <row r="940" spans="1:20" x14ac:dyDescent="0.3">
      <c r="A940" s="13">
        <v>45808</v>
      </c>
      <c r="B940" s="7" t="s">
        <v>130</v>
      </c>
      <c r="C940" s="7" t="s">
        <v>24</v>
      </c>
      <c r="D940" s="7" t="s">
        <v>102</v>
      </c>
      <c r="E940" s="7" t="s">
        <v>30</v>
      </c>
      <c r="F940" s="14">
        <v>3399</v>
      </c>
      <c r="G940" s="15">
        <v>104.96</v>
      </c>
      <c r="H940" s="16">
        <v>3.3545580109350333E-2</v>
      </c>
      <c r="I940" s="16">
        <v>1.7842721777200581E-2</v>
      </c>
      <c r="J940" s="15">
        <v>69.040000000000006</v>
      </c>
      <c r="K940" s="14">
        <v>284</v>
      </c>
      <c r="L940" s="14">
        <v>17</v>
      </c>
      <c r="M940" s="15">
        <v>4.34</v>
      </c>
      <c r="N940" s="17">
        <v>356759.03999999998</v>
      </c>
      <c r="O940" s="17">
        <v>11967.688956054921</v>
      </c>
      <c r="P940" s="17">
        <v>6152.0161478622076</v>
      </c>
      <c r="Q940" s="17">
        <v>338639.33489608287</v>
      </c>
      <c r="R940" s="17">
        <v>234666.96</v>
      </c>
      <c r="S940" s="17">
        <v>103972.3748960829</v>
      </c>
      <c r="T940" s="17">
        <v>73.78</v>
      </c>
    </row>
    <row r="941" spans="1:20" x14ac:dyDescent="0.3">
      <c r="A941" s="13">
        <v>45808</v>
      </c>
      <c r="B941" s="7" t="s">
        <v>130</v>
      </c>
      <c r="C941" s="7" t="s">
        <v>24</v>
      </c>
      <c r="D941" s="7" t="s">
        <v>103</v>
      </c>
      <c r="E941" s="7" t="s">
        <v>25</v>
      </c>
      <c r="F941" s="14">
        <v>3595</v>
      </c>
      <c r="G941" s="15">
        <v>242.55</v>
      </c>
      <c r="H941" s="16">
        <v>7.2142215946020855E-2</v>
      </c>
      <c r="I941" s="16">
        <v>5.058170093824102E-2</v>
      </c>
      <c r="J941" s="15">
        <v>128.18</v>
      </c>
      <c r="K941" s="14">
        <v>2540</v>
      </c>
      <c r="L941" s="14">
        <v>963</v>
      </c>
      <c r="M941" s="15">
        <v>32.07</v>
      </c>
      <c r="N941" s="17">
        <v>871967.25</v>
      </c>
      <c r="O941" s="17">
        <v>62905.649647357946</v>
      </c>
      <c r="P941" s="17">
        <v>40923.711909652011</v>
      </c>
      <c r="Q941" s="17">
        <v>768137.88844299002</v>
      </c>
      <c r="R941" s="17">
        <v>460807.1</v>
      </c>
      <c r="S941" s="17">
        <v>307330.78844298999</v>
      </c>
      <c r="T941" s="17">
        <v>30883.41</v>
      </c>
    </row>
    <row r="942" spans="1:20" x14ac:dyDescent="0.3">
      <c r="A942" s="13">
        <v>45808</v>
      </c>
      <c r="B942" s="7" t="s">
        <v>130</v>
      </c>
      <c r="C942" s="7" t="s">
        <v>24</v>
      </c>
      <c r="D942" s="7" t="s">
        <v>103</v>
      </c>
      <c r="E942" s="7" t="s">
        <v>28</v>
      </c>
      <c r="F942" s="14">
        <v>1449</v>
      </c>
      <c r="G942" s="15">
        <v>225.46</v>
      </c>
      <c r="H942" s="16">
        <v>0.11588299850375269</v>
      </c>
      <c r="I942" s="16">
        <v>3.7116424379083739E-2</v>
      </c>
      <c r="J942" s="15">
        <v>122.02</v>
      </c>
      <c r="K942" s="14">
        <v>1243</v>
      </c>
      <c r="L942" s="14">
        <v>410</v>
      </c>
      <c r="M942" s="15">
        <v>20.77</v>
      </c>
      <c r="N942" s="17">
        <v>326691.53999999998</v>
      </c>
      <c r="O942" s="17">
        <v>37857.995241008663</v>
      </c>
      <c r="P942" s="17">
        <v>10720.468422189801</v>
      </c>
      <c r="Q942" s="17">
        <v>278113.07633680158</v>
      </c>
      <c r="R942" s="17">
        <v>176806.98</v>
      </c>
      <c r="S942" s="17">
        <v>101306.09633680159</v>
      </c>
      <c r="T942" s="17">
        <v>8515.7000000000007</v>
      </c>
    </row>
    <row r="943" spans="1:20" x14ac:dyDescent="0.3">
      <c r="A943" s="13">
        <v>45808</v>
      </c>
      <c r="B943" s="7" t="s">
        <v>130</v>
      </c>
      <c r="C943" s="7" t="s">
        <v>24</v>
      </c>
      <c r="D943" s="7" t="s">
        <v>103</v>
      </c>
      <c r="E943" s="7" t="s">
        <v>30</v>
      </c>
      <c r="F943" s="14">
        <v>1450</v>
      </c>
      <c r="G943" s="15">
        <v>190.78</v>
      </c>
      <c r="H943" s="16">
        <v>3.8718440546769747E-2</v>
      </c>
      <c r="I943" s="16">
        <v>1.233658014538133E-2</v>
      </c>
      <c r="J943" s="15">
        <v>122.12</v>
      </c>
      <c r="K943" s="14">
        <v>127</v>
      </c>
      <c r="L943" s="14">
        <v>8</v>
      </c>
      <c r="M943" s="15">
        <v>5.88</v>
      </c>
      <c r="N943" s="17">
        <v>276631</v>
      </c>
      <c r="O943" s="17">
        <v>10710.72092689346</v>
      </c>
      <c r="P943" s="17">
        <v>3280.5468350675492</v>
      </c>
      <c r="Q943" s="17">
        <v>262639.73223803903</v>
      </c>
      <c r="R943" s="17">
        <v>177074</v>
      </c>
      <c r="S943" s="17">
        <v>85565.732238038967</v>
      </c>
      <c r="T943" s="17">
        <v>47.04</v>
      </c>
    </row>
    <row r="944" spans="1:20" x14ac:dyDescent="0.3">
      <c r="A944" s="13">
        <v>45808</v>
      </c>
      <c r="B944" s="7" t="s">
        <v>130</v>
      </c>
      <c r="C944" s="7" t="s">
        <v>24</v>
      </c>
      <c r="D944" s="7" t="s">
        <v>104</v>
      </c>
      <c r="E944" s="7" t="s">
        <v>25</v>
      </c>
      <c r="F944" s="14">
        <v>3559</v>
      </c>
      <c r="G944" s="15">
        <v>48.21</v>
      </c>
      <c r="H944" s="16">
        <v>4.8975001002059537E-2</v>
      </c>
      <c r="I944" s="16">
        <v>5.1765332537877649E-2</v>
      </c>
      <c r="J944" s="15">
        <v>22.77</v>
      </c>
      <c r="K944" s="14">
        <v>2490</v>
      </c>
      <c r="L944" s="14">
        <v>848</v>
      </c>
      <c r="M944" s="15">
        <v>25.75</v>
      </c>
      <c r="N944" s="17">
        <v>171579.39</v>
      </c>
      <c r="O944" s="17">
        <v>8403.1007971827657</v>
      </c>
      <c r="P944" s="17">
        <v>8446.8748728807295</v>
      </c>
      <c r="Q944" s="17">
        <v>154729.4143299365</v>
      </c>
      <c r="R944" s="17">
        <v>81038.429999999993</v>
      </c>
      <c r="S944" s="17">
        <v>73690.984329936531</v>
      </c>
      <c r="T944" s="17">
        <v>21836</v>
      </c>
    </row>
    <row r="945" spans="1:20" x14ac:dyDescent="0.3">
      <c r="A945" s="13">
        <v>45808</v>
      </c>
      <c r="B945" s="7" t="s">
        <v>130</v>
      </c>
      <c r="C945" s="7" t="s">
        <v>24</v>
      </c>
      <c r="D945" s="7" t="s">
        <v>104</v>
      </c>
      <c r="E945" s="7" t="s">
        <v>28</v>
      </c>
      <c r="F945" s="14">
        <v>1390</v>
      </c>
      <c r="G945" s="15">
        <v>44.89</v>
      </c>
      <c r="H945" s="16">
        <v>7.1110418500467482E-2</v>
      </c>
      <c r="I945" s="16">
        <v>2.7706297263637259E-2</v>
      </c>
      <c r="J945" s="15">
        <v>23.15</v>
      </c>
      <c r="K945" s="14">
        <v>1129</v>
      </c>
      <c r="L945" s="14">
        <v>369</v>
      </c>
      <c r="M945" s="15">
        <v>16.18</v>
      </c>
      <c r="N945" s="17">
        <v>62397.1</v>
      </c>
      <c r="O945" s="17">
        <v>4437.0838942155196</v>
      </c>
      <c r="P945" s="17">
        <v>1605.857435632068</v>
      </c>
      <c r="Q945" s="17">
        <v>56354.158670152407</v>
      </c>
      <c r="R945" s="17">
        <v>32178.5</v>
      </c>
      <c r="S945" s="17">
        <v>24175.658670152421</v>
      </c>
      <c r="T945" s="17">
        <v>5970.42</v>
      </c>
    </row>
    <row r="946" spans="1:20" x14ac:dyDescent="0.3">
      <c r="A946" s="13">
        <v>45808</v>
      </c>
      <c r="B946" s="7" t="s">
        <v>130</v>
      </c>
      <c r="C946" s="7" t="s">
        <v>24</v>
      </c>
      <c r="D946" s="7" t="s">
        <v>104</v>
      </c>
      <c r="E946" s="7" t="s">
        <v>30</v>
      </c>
      <c r="F946" s="14">
        <v>855</v>
      </c>
      <c r="G946" s="15">
        <v>39.86</v>
      </c>
      <c r="H946" s="16">
        <v>4.8185957465025193E-2</v>
      </c>
      <c r="I946" s="16">
        <v>2.3312680166993061E-2</v>
      </c>
      <c r="J946" s="15">
        <v>22.6</v>
      </c>
      <c r="K946" s="14">
        <v>75</v>
      </c>
      <c r="L946" s="14">
        <v>5</v>
      </c>
      <c r="M946" s="15">
        <v>4.0599999999999996</v>
      </c>
      <c r="N946" s="17">
        <v>34080.300000000003</v>
      </c>
      <c r="O946" s="17">
        <v>1642.1918861952979</v>
      </c>
      <c r="P946" s="17">
        <v>756.21923967947168</v>
      </c>
      <c r="Q946" s="17">
        <v>31681.88887412523</v>
      </c>
      <c r="R946" s="17">
        <v>19323</v>
      </c>
      <c r="S946" s="17">
        <v>12358.88887412523</v>
      </c>
      <c r="T946" s="17">
        <v>20.3</v>
      </c>
    </row>
    <row r="947" spans="1:20" x14ac:dyDescent="0.3">
      <c r="A947" s="13">
        <v>45808</v>
      </c>
      <c r="B947" s="7" t="s">
        <v>130</v>
      </c>
      <c r="C947" s="7" t="s">
        <v>27</v>
      </c>
      <c r="D947" s="7" t="s">
        <v>102</v>
      </c>
      <c r="E947" s="7" t="s">
        <v>25</v>
      </c>
      <c r="F947" s="14">
        <v>6784</v>
      </c>
      <c r="G947" s="15">
        <v>137.13</v>
      </c>
      <c r="H947" s="16">
        <v>6.547152810305179E-2</v>
      </c>
      <c r="I947" s="16">
        <v>3.2445011168660498E-2</v>
      </c>
      <c r="J947" s="15">
        <v>76.45</v>
      </c>
      <c r="K947" s="14">
        <v>4753</v>
      </c>
      <c r="L947" s="14">
        <v>1825</v>
      </c>
      <c r="M947" s="15">
        <v>40.33</v>
      </c>
      <c r="N947" s="17">
        <v>930289.91999999993</v>
      </c>
      <c r="O947" s="17">
        <v>60907.502641265797</v>
      </c>
      <c r="P947" s="17">
        <v>28207.122241041201</v>
      </c>
      <c r="Q947" s="17">
        <v>841175.29511769302</v>
      </c>
      <c r="R947" s="17">
        <v>518636.79999999999</v>
      </c>
      <c r="S947" s="17">
        <v>322538.49511769298</v>
      </c>
      <c r="T947" s="17">
        <v>73602.25</v>
      </c>
    </row>
    <row r="948" spans="1:20" x14ac:dyDescent="0.3">
      <c r="A948" s="13">
        <v>45808</v>
      </c>
      <c r="B948" s="7" t="s">
        <v>130</v>
      </c>
      <c r="C948" s="7" t="s">
        <v>27</v>
      </c>
      <c r="D948" s="7" t="s">
        <v>102</v>
      </c>
      <c r="E948" s="7" t="s">
        <v>28</v>
      </c>
      <c r="F948" s="14">
        <v>2363</v>
      </c>
      <c r="G948" s="15">
        <v>134.96</v>
      </c>
      <c r="H948" s="16">
        <v>9.3438870354632816E-2</v>
      </c>
      <c r="I948" s="16">
        <v>5.8066839319668703E-2</v>
      </c>
      <c r="J948" s="15">
        <v>75.510000000000005</v>
      </c>
      <c r="K948" s="14">
        <v>1845</v>
      </c>
      <c r="L948" s="14">
        <v>519</v>
      </c>
      <c r="M948" s="15">
        <v>19.57</v>
      </c>
      <c r="N948" s="17">
        <v>318910.48</v>
      </c>
      <c r="O948" s="17">
        <v>29798.634995453729</v>
      </c>
      <c r="P948" s="17">
        <v>16787.811049291951</v>
      </c>
      <c r="Q948" s="17">
        <v>272324.03395525442</v>
      </c>
      <c r="R948" s="17">
        <v>178430.13</v>
      </c>
      <c r="S948" s="17">
        <v>93893.903955254355</v>
      </c>
      <c r="T948" s="17">
        <v>10156.83</v>
      </c>
    </row>
    <row r="949" spans="1:20" x14ac:dyDescent="0.3">
      <c r="A949" s="13">
        <v>45808</v>
      </c>
      <c r="B949" s="7" t="s">
        <v>130</v>
      </c>
      <c r="C949" s="7" t="s">
        <v>27</v>
      </c>
      <c r="D949" s="7" t="s">
        <v>102</v>
      </c>
      <c r="E949" s="7" t="s">
        <v>30</v>
      </c>
      <c r="F949" s="14">
        <v>1827</v>
      </c>
      <c r="G949" s="15">
        <v>112.3</v>
      </c>
      <c r="H949" s="16">
        <v>3.617507539104993E-2</v>
      </c>
      <c r="I949" s="16">
        <v>1.812296276758019E-2</v>
      </c>
      <c r="J949" s="15">
        <v>76.569999999999993</v>
      </c>
      <c r="K949" s="14">
        <v>154</v>
      </c>
      <c r="L949" s="14">
        <v>9</v>
      </c>
      <c r="M949" s="15">
        <v>5.21</v>
      </c>
      <c r="N949" s="17">
        <v>205172.1</v>
      </c>
      <c r="O949" s="17">
        <v>7422.1161856400358</v>
      </c>
      <c r="P949" s="17">
        <v>3583.8155939572312</v>
      </c>
      <c r="Q949" s="17">
        <v>194166.1682204027</v>
      </c>
      <c r="R949" s="17">
        <v>139893.39000000001</v>
      </c>
      <c r="S949" s="17">
        <v>54272.778220402754</v>
      </c>
      <c r="T949" s="17">
        <v>46.89</v>
      </c>
    </row>
    <row r="950" spans="1:20" x14ac:dyDescent="0.3">
      <c r="A950" s="13">
        <v>45808</v>
      </c>
      <c r="B950" s="7" t="s">
        <v>130</v>
      </c>
      <c r="C950" s="7" t="s">
        <v>27</v>
      </c>
      <c r="D950" s="7" t="s">
        <v>103</v>
      </c>
      <c r="E950" s="7" t="s">
        <v>25</v>
      </c>
      <c r="F950" s="14">
        <v>1370</v>
      </c>
      <c r="G950" s="15">
        <v>266.51</v>
      </c>
      <c r="H950" s="16">
        <v>5.0279976524560809E-2</v>
      </c>
      <c r="I950" s="16">
        <v>4.1627966180999128E-2</v>
      </c>
      <c r="J950" s="15">
        <v>137.35</v>
      </c>
      <c r="K950" s="14">
        <v>914</v>
      </c>
      <c r="L950" s="14">
        <v>339</v>
      </c>
      <c r="M950" s="15">
        <v>24.44</v>
      </c>
      <c r="N950" s="17">
        <v>365118.7</v>
      </c>
      <c r="O950" s="17">
        <v>18358.159664678162</v>
      </c>
      <c r="P950" s="17">
        <v>14434.936045983761</v>
      </c>
      <c r="Q950" s="17">
        <v>332325.60428933811</v>
      </c>
      <c r="R950" s="17">
        <v>188169.5</v>
      </c>
      <c r="S950" s="17">
        <v>144156.10428933811</v>
      </c>
      <c r="T950" s="17">
        <v>8285.16</v>
      </c>
    </row>
    <row r="951" spans="1:20" x14ac:dyDescent="0.3">
      <c r="A951" s="13">
        <v>45808</v>
      </c>
      <c r="B951" s="7" t="s">
        <v>130</v>
      </c>
      <c r="C951" s="7" t="s">
        <v>27</v>
      </c>
      <c r="D951" s="7" t="s">
        <v>103</v>
      </c>
      <c r="E951" s="7" t="s">
        <v>28</v>
      </c>
      <c r="F951" s="14">
        <v>1299</v>
      </c>
      <c r="G951" s="15">
        <v>236.59</v>
      </c>
      <c r="H951" s="16">
        <v>8.0119926336385539E-2</v>
      </c>
      <c r="I951" s="16">
        <v>0.10082868221859741</v>
      </c>
      <c r="J951" s="15">
        <v>134.78</v>
      </c>
      <c r="K951" s="14">
        <v>1048</v>
      </c>
      <c r="L951" s="14">
        <v>305</v>
      </c>
      <c r="M951" s="15">
        <v>21.57</v>
      </c>
      <c r="N951" s="17">
        <v>307330.40999999997</v>
      </c>
      <c r="O951" s="17">
        <v>24623.289810131169</v>
      </c>
      <c r="P951" s="17">
        <v>28504.986382559109</v>
      </c>
      <c r="Q951" s="17">
        <v>254202.1338073097</v>
      </c>
      <c r="R951" s="17">
        <v>175079.22</v>
      </c>
      <c r="S951" s="17">
        <v>79122.913807309727</v>
      </c>
      <c r="T951" s="17">
        <v>6578.85</v>
      </c>
    </row>
    <row r="952" spans="1:20" x14ac:dyDescent="0.3">
      <c r="A952" s="13">
        <v>45808</v>
      </c>
      <c r="B952" s="7" t="s">
        <v>130</v>
      </c>
      <c r="C952" s="7" t="s">
        <v>27</v>
      </c>
      <c r="D952" s="7" t="s">
        <v>103</v>
      </c>
      <c r="E952" s="7" t="s">
        <v>30</v>
      </c>
      <c r="F952" s="14">
        <v>1057</v>
      </c>
      <c r="G952" s="15">
        <v>216.26</v>
      </c>
      <c r="H952" s="16">
        <v>3.4879603155765333E-2</v>
      </c>
      <c r="I952" s="16">
        <v>2.4826633335805631E-2</v>
      </c>
      <c r="J952" s="15">
        <v>134.22999999999999</v>
      </c>
      <c r="K952" s="14">
        <v>82</v>
      </c>
      <c r="L952" s="14">
        <v>5</v>
      </c>
      <c r="M952" s="15">
        <v>6.67</v>
      </c>
      <c r="N952" s="17">
        <v>228586.82</v>
      </c>
      <c r="O952" s="17">
        <v>7973.0175682383606</v>
      </c>
      <c r="P952" s="17">
        <v>5477.0979817912112</v>
      </c>
      <c r="Q952" s="17">
        <v>215136.70444997039</v>
      </c>
      <c r="R952" s="17">
        <v>141881.10999999999</v>
      </c>
      <c r="S952" s="17">
        <v>73255.594449970406</v>
      </c>
      <c r="T952" s="17">
        <v>33.35</v>
      </c>
    </row>
    <row r="953" spans="1:20" x14ac:dyDescent="0.3">
      <c r="A953" s="13">
        <v>45808</v>
      </c>
      <c r="B953" s="7" t="s">
        <v>130</v>
      </c>
      <c r="C953" s="7" t="s">
        <v>27</v>
      </c>
      <c r="D953" s="7" t="s">
        <v>104</v>
      </c>
      <c r="E953" s="7" t="s">
        <v>25</v>
      </c>
      <c r="F953" s="14">
        <v>1975</v>
      </c>
      <c r="G953" s="15">
        <v>54.42</v>
      </c>
      <c r="H953" s="16">
        <v>4.3544347072422343E-2</v>
      </c>
      <c r="I953" s="16">
        <v>1.9316242845689679E-2</v>
      </c>
      <c r="J953" s="15">
        <v>24.16</v>
      </c>
      <c r="K953" s="14">
        <v>1302</v>
      </c>
      <c r="L953" s="14">
        <v>484</v>
      </c>
      <c r="M953" s="15">
        <v>29.45</v>
      </c>
      <c r="N953" s="17">
        <v>107479.5</v>
      </c>
      <c r="O953" s="17">
        <v>4680.1246511704167</v>
      </c>
      <c r="P953" s="17">
        <v>1985.6976986231971</v>
      </c>
      <c r="Q953" s="17">
        <v>100813.6776502064</v>
      </c>
      <c r="R953" s="17">
        <v>47716</v>
      </c>
      <c r="S953" s="17">
        <v>53097.677650206373</v>
      </c>
      <c r="T953" s="17">
        <v>14253.8</v>
      </c>
    </row>
    <row r="954" spans="1:20" x14ac:dyDescent="0.3">
      <c r="A954" s="13">
        <v>45808</v>
      </c>
      <c r="B954" s="7" t="s">
        <v>130</v>
      </c>
      <c r="C954" s="7" t="s">
        <v>27</v>
      </c>
      <c r="D954" s="7" t="s">
        <v>104</v>
      </c>
      <c r="E954" s="7" t="s">
        <v>28</v>
      </c>
      <c r="F954" s="14">
        <v>969</v>
      </c>
      <c r="G954" s="15">
        <v>47.07</v>
      </c>
      <c r="H954" s="16">
        <v>0.1176005010221992</v>
      </c>
      <c r="I954" s="16">
        <v>4.5041575688418357E-2</v>
      </c>
      <c r="J954" s="15">
        <v>23.33</v>
      </c>
      <c r="K954" s="14">
        <v>838</v>
      </c>
      <c r="L954" s="14">
        <v>243</v>
      </c>
      <c r="M954" s="15">
        <v>21.58</v>
      </c>
      <c r="N954" s="17">
        <v>45610.83</v>
      </c>
      <c r="O954" s="17">
        <v>5363.8564600383561</v>
      </c>
      <c r="P954" s="17">
        <v>1812.787104929954</v>
      </c>
      <c r="Q954" s="17">
        <v>38434.186435031697</v>
      </c>
      <c r="R954" s="17">
        <v>22606.77</v>
      </c>
      <c r="S954" s="17">
        <v>15827.416435031701</v>
      </c>
      <c r="T954" s="17">
        <v>5243.94</v>
      </c>
    </row>
    <row r="955" spans="1:20" x14ac:dyDescent="0.3">
      <c r="A955" s="13">
        <v>45808</v>
      </c>
      <c r="B955" s="7" t="s">
        <v>130</v>
      </c>
      <c r="C955" s="7" t="s">
        <v>27</v>
      </c>
      <c r="D955" s="7" t="s">
        <v>104</v>
      </c>
      <c r="E955" s="7" t="s">
        <v>30</v>
      </c>
      <c r="F955" s="14">
        <v>723</v>
      </c>
      <c r="G955" s="15">
        <v>44.25</v>
      </c>
      <c r="H955" s="16">
        <v>3.7999235840909369E-2</v>
      </c>
      <c r="I955" s="16">
        <v>2.7599760029571499E-2</v>
      </c>
      <c r="J955" s="15">
        <v>22.56</v>
      </c>
      <c r="K955" s="14">
        <v>60</v>
      </c>
      <c r="L955" s="14">
        <v>4</v>
      </c>
      <c r="M955" s="15">
        <v>5.68</v>
      </c>
      <c r="N955" s="17">
        <v>31992.75</v>
      </c>
      <c r="O955" s="17">
        <v>1215.700052449253</v>
      </c>
      <c r="P955" s="17">
        <v>849.43919297053662</v>
      </c>
      <c r="Q955" s="17">
        <v>29927.610754580212</v>
      </c>
      <c r="R955" s="17">
        <v>16310.88</v>
      </c>
      <c r="S955" s="17">
        <v>13616.73075458021</v>
      </c>
      <c r="T955" s="17">
        <v>22.72</v>
      </c>
    </row>
    <row r="956" spans="1:20" x14ac:dyDescent="0.3">
      <c r="A956" s="13">
        <v>45808</v>
      </c>
      <c r="B956" s="7" t="s">
        <v>130</v>
      </c>
      <c r="C956" s="7" t="s">
        <v>29</v>
      </c>
      <c r="D956" s="7" t="s">
        <v>102</v>
      </c>
      <c r="E956" s="7" t="s">
        <v>25</v>
      </c>
      <c r="F956" s="14">
        <v>3955</v>
      </c>
      <c r="G956" s="15">
        <v>121.16</v>
      </c>
      <c r="H956" s="16">
        <v>6.596556983719469E-2</v>
      </c>
      <c r="I956" s="16">
        <v>4.8931883472072522E-2</v>
      </c>
      <c r="J956" s="15">
        <v>73.650000000000006</v>
      </c>
      <c r="K956" s="14">
        <v>2877</v>
      </c>
      <c r="L956" s="14">
        <v>1103</v>
      </c>
      <c r="M956" s="15">
        <v>26.07</v>
      </c>
      <c r="N956" s="17">
        <v>479187.8</v>
      </c>
      <c r="O956" s="17">
        <v>31609.896286031679</v>
      </c>
      <c r="P956" s="17">
        <v>21900.829829206388</v>
      </c>
      <c r="Q956" s="17">
        <v>425677.07388476189</v>
      </c>
      <c r="R956" s="17">
        <v>291285.75</v>
      </c>
      <c r="S956" s="17">
        <v>134391.32388476189</v>
      </c>
      <c r="T956" s="17">
        <v>28755.21</v>
      </c>
    </row>
    <row r="957" spans="1:20" x14ac:dyDescent="0.3">
      <c r="A957" s="13">
        <v>45808</v>
      </c>
      <c r="B957" s="7" t="s">
        <v>130</v>
      </c>
      <c r="C957" s="7" t="s">
        <v>29</v>
      </c>
      <c r="D957" s="7" t="s">
        <v>102</v>
      </c>
      <c r="E957" s="7" t="s">
        <v>28</v>
      </c>
      <c r="F957" s="14">
        <v>1917</v>
      </c>
      <c r="G957" s="15">
        <v>118.01</v>
      </c>
      <c r="H957" s="16">
        <v>6.2798833361160794E-2</v>
      </c>
      <c r="I957" s="16">
        <v>6.5014905818302549E-2</v>
      </c>
      <c r="J957" s="15">
        <v>71.63</v>
      </c>
      <c r="K957" s="14">
        <v>1597</v>
      </c>
      <c r="L957" s="14">
        <v>478</v>
      </c>
      <c r="M957" s="15">
        <v>15.28</v>
      </c>
      <c r="N957" s="17">
        <v>226225.17</v>
      </c>
      <c r="O957" s="17">
        <v>14206.676752930271</v>
      </c>
      <c r="P957" s="17">
        <v>13784.36237019665</v>
      </c>
      <c r="Q957" s="17">
        <v>198234.1308768731</v>
      </c>
      <c r="R957" s="17">
        <v>137314.71</v>
      </c>
      <c r="S957" s="17">
        <v>60919.420876873097</v>
      </c>
      <c r="T957" s="17">
        <v>7303.84</v>
      </c>
    </row>
    <row r="958" spans="1:20" x14ac:dyDescent="0.3">
      <c r="A958" s="13">
        <v>45808</v>
      </c>
      <c r="B958" s="7" t="s">
        <v>130</v>
      </c>
      <c r="C958" s="7" t="s">
        <v>29</v>
      </c>
      <c r="D958" s="7" t="s">
        <v>102</v>
      </c>
      <c r="E958" s="7" t="s">
        <v>30</v>
      </c>
      <c r="F958" s="14">
        <v>1464</v>
      </c>
      <c r="G958" s="15">
        <v>99.28</v>
      </c>
      <c r="H958" s="16">
        <v>3.4745111052122239E-2</v>
      </c>
      <c r="I958" s="16">
        <v>2.2663916046613119E-2</v>
      </c>
      <c r="J958" s="15">
        <v>70.510000000000005</v>
      </c>
      <c r="K958" s="14">
        <v>121</v>
      </c>
      <c r="L958" s="14">
        <v>6</v>
      </c>
      <c r="M958" s="15">
        <v>4.8099999999999996</v>
      </c>
      <c r="N958" s="17">
        <v>145345.92000000001</v>
      </c>
      <c r="O958" s="17">
        <v>5050.0601313728748</v>
      </c>
      <c r="P958" s="17">
        <v>3179.6535897499639</v>
      </c>
      <c r="Q958" s="17">
        <v>137116.20627887719</v>
      </c>
      <c r="R958" s="17">
        <v>103226.64</v>
      </c>
      <c r="S958" s="17">
        <v>33889.566278877137</v>
      </c>
      <c r="T958" s="17">
        <v>28.86</v>
      </c>
    </row>
    <row r="959" spans="1:20" x14ac:dyDescent="0.3">
      <c r="A959" s="13">
        <v>45808</v>
      </c>
      <c r="B959" s="7" t="s">
        <v>130</v>
      </c>
      <c r="C959" s="7" t="s">
        <v>29</v>
      </c>
      <c r="D959" s="7" t="s">
        <v>103</v>
      </c>
      <c r="E959" s="7" t="s">
        <v>25</v>
      </c>
      <c r="F959" s="14">
        <v>2760</v>
      </c>
      <c r="G959" s="15">
        <v>223.1</v>
      </c>
      <c r="H959" s="16">
        <v>6.4887290513606866E-2</v>
      </c>
      <c r="I959" s="16">
        <v>3.7661021995464061E-2</v>
      </c>
      <c r="J959" s="15">
        <v>123.14</v>
      </c>
      <c r="K959" s="14">
        <v>1979</v>
      </c>
      <c r="L959" s="14">
        <v>793</v>
      </c>
      <c r="M959" s="15">
        <v>34.36</v>
      </c>
      <c r="N959" s="17">
        <v>615756</v>
      </c>
      <c r="O959" s="17">
        <v>39954.738457496511</v>
      </c>
      <c r="P959" s="17">
        <v>21685.263975968181</v>
      </c>
      <c r="Q959" s="17">
        <v>554115.99756653537</v>
      </c>
      <c r="R959" s="17">
        <v>339866.4</v>
      </c>
      <c r="S959" s="17">
        <v>214249.59756653529</v>
      </c>
      <c r="T959" s="17">
        <v>27247.48</v>
      </c>
    </row>
    <row r="960" spans="1:20" x14ac:dyDescent="0.3">
      <c r="A960" s="13">
        <v>45808</v>
      </c>
      <c r="B960" s="7" t="s">
        <v>130</v>
      </c>
      <c r="C960" s="7" t="s">
        <v>29</v>
      </c>
      <c r="D960" s="7" t="s">
        <v>103</v>
      </c>
      <c r="E960" s="7" t="s">
        <v>28</v>
      </c>
      <c r="F960" s="14">
        <v>854</v>
      </c>
      <c r="G960" s="15">
        <v>215.66</v>
      </c>
      <c r="H960" s="16">
        <v>0.1096506064699735</v>
      </c>
      <c r="I960" s="16">
        <v>7.5474806618627627E-2</v>
      </c>
      <c r="J960" s="15">
        <v>118.63</v>
      </c>
      <c r="K960" s="14">
        <v>754</v>
      </c>
      <c r="L960" s="14">
        <v>224</v>
      </c>
      <c r="M960" s="15">
        <v>19.440000000000001</v>
      </c>
      <c r="N960" s="17">
        <v>184173.64</v>
      </c>
      <c r="O960" s="17">
        <v>20194.751321782569</v>
      </c>
      <c r="P960" s="17">
        <v>12376.274912525931</v>
      </c>
      <c r="Q960" s="17">
        <v>151602.61376569149</v>
      </c>
      <c r="R960" s="17">
        <v>101310.02</v>
      </c>
      <c r="S960" s="17">
        <v>50292.593765691498</v>
      </c>
      <c r="T960" s="17">
        <v>4354.5600000000004</v>
      </c>
    </row>
    <row r="961" spans="1:20" x14ac:dyDescent="0.3">
      <c r="A961" s="13">
        <v>45808</v>
      </c>
      <c r="B961" s="7" t="s">
        <v>130</v>
      </c>
      <c r="C961" s="7" t="s">
        <v>29</v>
      </c>
      <c r="D961" s="7" t="s">
        <v>103</v>
      </c>
      <c r="E961" s="7" t="s">
        <v>30</v>
      </c>
      <c r="F961" s="14">
        <v>886</v>
      </c>
      <c r="G961" s="15">
        <v>182.22</v>
      </c>
      <c r="H961" s="16">
        <v>4.5967349414449743E-2</v>
      </c>
      <c r="I961" s="16">
        <v>1.6191198146586771E-2</v>
      </c>
      <c r="J961" s="15">
        <v>122.76</v>
      </c>
      <c r="K961" s="14">
        <v>76</v>
      </c>
      <c r="L961" s="14">
        <v>4</v>
      </c>
      <c r="M961" s="15">
        <v>6.42</v>
      </c>
      <c r="N961" s="17">
        <v>161446.92000000001</v>
      </c>
      <c r="O961" s="17">
        <v>7421.2869835267138</v>
      </c>
      <c r="P961" s="17">
        <v>2493.859543823176</v>
      </c>
      <c r="Q961" s="17">
        <v>151531.77347265009</v>
      </c>
      <c r="R961" s="17">
        <v>108765.36</v>
      </c>
      <c r="S961" s="17">
        <v>42766.413472650122</v>
      </c>
      <c r="T961" s="17">
        <v>25.68</v>
      </c>
    </row>
    <row r="962" spans="1:20" x14ac:dyDescent="0.3">
      <c r="A962" s="13">
        <v>45808</v>
      </c>
      <c r="B962" s="7" t="s">
        <v>130</v>
      </c>
      <c r="C962" s="7" t="s">
        <v>29</v>
      </c>
      <c r="D962" s="7" t="s">
        <v>104</v>
      </c>
      <c r="E962" s="7" t="s">
        <v>25</v>
      </c>
      <c r="F962" s="14">
        <v>1659</v>
      </c>
      <c r="G962" s="15">
        <v>46.6</v>
      </c>
      <c r="H962" s="16">
        <v>4.8001667923705117E-2</v>
      </c>
      <c r="I962" s="16">
        <v>3.7526640361035819E-2</v>
      </c>
      <c r="J962" s="15">
        <v>22.94</v>
      </c>
      <c r="K962" s="14">
        <v>1111</v>
      </c>
      <c r="L962" s="14">
        <v>400</v>
      </c>
      <c r="M962" s="15">
        <v>39.479999999999997</v>
      </c>
      <c r="N962" s="17">
        <v>77309.400000000009</v>
      </c>
      <c r="O962" s="17">
        <v>3710.9801461808888</v>
      </c>
      <c r="P962" s="17">
        <v>2761.901432994789</v>
      </c>
      <c r="Q962" s="17">
        <v>70836.518420824345</v>
      </c>
      <c r="R962" s="17">
        <v>38057.46</v>
      </c>
      <c r="S962" s="17">
        <v>32779.058420824353</v>
      </c>
      <c r="T962" s="17">
        <v>15792</v>
      </c>
    </row>
    <row r="963" spans="1:20" x14ac:dyDescent="0.3">
      <c r="A963" s="13">
        <v>45808</v>
      </c>
      <c r="B963" s="7" t="s">
        <v>130</v>
      </c>
      <c r="C963" s="7" t="s">
        <v>29</v>
      </c>
      <c r="D963" s="7" t="s">
        <v>104</v>
      </c>
      <c r="E963" s="7" t="s">
        <v>28</v>
      </c>
      <c r="F963" s="14">
        <v>858</v>
      </c>
      <c r="G963" s="15">
        <v>43.11</v>
      </c>
      <c r="H963" s="16">
        <v>7.3318009202332973E-2</v>
      </c>
      <c r="I963" s="16">
        <v>5.7419379611017909E-2</v>
      </c>
      <c r="J963" s="15">
        <v>23.69</v>
      </c>
      <c r="K963" s="14">
        <v>695</v>
      </c>
      <c r="L963" s="14">
        <v>223</v>
      </c>
      <c r="M963" s="15">
        <v>18.54</v>
      </c>
      <c r="N963" s="17">
        <v>36988.379999999997</v>
      </c>
      <c r="O963" s="17">
        <v>2711.9143852193888</v>
      </c>
      <c r="P963" s="17">
        <v>1968.13339085909</v>
      </c>
      <c r="Q963" s="17">
        <v>32308.332223921519</v>
      </c>
      <c r="R963" s="17">
        <v>20326.02</v>
      </c>
      <c r="S963" s="17">
        <v>11982.312223921521</v>
      </c>
      <c r="T963" s="17">
        <v>4134.42</v>
      </c>
    </row>
    <row r="964" spans="1:20" x14ac:dyDescent="0.3">
      <c r="A964" s="13">
        <v>45808</v>
      </c>
      <c r="B964" s="7" t="s">
        <v>130</v>
      </c>
      <c r="C964" s="7" t="s">
        <v>29</v>
      </c>
      <c r="D964" s="7" t="s">
        <v>104</v>
      </c>
      <c r="E964" s="7" t="s">
        <v>30</v>
      </c>
      <c r="F964" s="14">
        <v>610</v>
      </c>
      <c r="G964" s="15">
        <v>36.68</v>
      </c>
      <c r="H964" s="16">
        <v>3.0304921174199011E-2</v>
      </c>
      <c r="I964" s="16">
        <v>2.1863240932400281E-2</v>
      </c>
      <c r="J964" s="15">
        <v>22.82</v>
      </c>
      <c r="K964" s="14">
        <v>54</v>
      </c>
      <c r="L964" s="14">
        <v>3</v>
      </c>
      <c r="M964" s="15">
        <v>6.39</v>
      </c>
      <c r="N964" s="17">
        <v>22374.799999999999</v>
      </c>
      <c r="O964" s="17">
        <v>678.06655028846797</v>
      </c>
      <c r="P964" s="17">
        <v>474.36091085711138</v>
      </c>
      <c r="Q964" s="17">
        <v>21222.372538854419</v>
      </c>
      <c r="R964" s="17">
        <v>13920.2</v>
      </c>
      <c r="S964" s="17">
        <v>7302.1725388544182</v>
      </c>
      <c r="T964" s="17">
        <v>19.170000000000002</v>
      </c>
    </row>
    <row r="965" spans="1:20" x14ac:dyDescent="0.3">
      <c r="A965" s="13">
        <v>45808</v>
      </c>
      <c r="B965" s="7" t="s">
        <v>130</v>
      </c>
      <c r="C965" s="7" t="s">
        <v>31</v>
      </c>
      <c r="D965" s="7" t="s">
        <v>102</v>
      </c>
      <c r="E965" s="7" t="s">
        <v>25</v>
      </c>
      <c r="F965" s="14">
        <v>2185</v>
      </c>
      <c r="G965" s="15">
        <v>114.49</v>
      </c>
      <c r="H965" s="16">
        <v>4.4954148540046493E-2</v>
      </c>
      <c r="I965" s="16">
        <v>6.7103316443348937E-2</v>
      </c>
      <c r="J965" s="15">
        <v>71.14</v>
      </c>
      <c r="K965" s="14">
        <v>1483</v>
      </c>
      <c r="L965" s="14">
        <v>564</v>
      </c>
      <c r="M965" s="15">
        <v>33.21</v>
      </c>
      <c r="N965" s="17">
        <v>250160.65</v>
      </c>
      <c r="O965" s="17">
        <v>11245.759018974581</v>
      </c>
      <c r="P965" s="17">
        <v>16031.98153252796</v>
      </c>
      <c r="Q965" s="17">
        <v>222882.90944849749</v>
      </c>
      <c r="R965" s="17">
        <v>155440.9</v>
      </c>
      <c r="S965" s="17">
        <v>67442.009448497469</v>
      </c>
      <c r="T965" s="17">
        <v>18730.439999999999</v>
      </c>
    </row>
    <row r="966" spans="1:20" x14ac:dyDescent="0.3">
      <c r="A966" s="13">
        <v>45808</v>
      </c>
      <c r="B966" s="7" t="s">
        <v>130</v>
      </c>
      <c r="C966" s="7" t="s">
        <v>31</v>
      </c>
      <c r="D966" s="7" t="s">
        <v>102</v>
      </c>
      <c r="E966" s="7" t="s">
        <v>28</v>
      </c>
      <c r="F966" s="14">
        <v>1062</v>
      </c>
      <c r="G966" s="15">
        <v>105.61</v>
      </c>
      <c r="H966" s="16">
        <v>9.8092584265342994E-2</v>
      </c>
      <c r="I966" s="16">
        <v>6.5785662607971779E-2</v>
      </c>
      <c r="J966" s="15">
        <v>68.34</v>
      </c>
      <c r="K966" s="14">
        <v>910</v>
      </c>
      <c r="L966" s="14">
        <v>271</v>
      </c>
      <c r="M966" s="15">
        <v>22.6</v>
      </c>
      <c r="N966" s="17">
        <v>112157.82</v>
      </c>
      <c r="O966" s="17">
        <v>11001.850409367171</v>
      </c>
      <c r="P966" s="17">
        <v>6654.6124862716242</v>
      </c>
      <c r="Q966" s="17">
        <v>94501.357104361203</v>
      </c>
      <c r="R966" s="17">
        <v>72577.08</v>
      </c>
      <c r="S966" s="17">
        <v>21924.277104361201</v>
      </c>
      <c r="T966" s="17">
        <v>6124.6</v>
      </c>
    </row>
    <row r="967" spans="1:20" x14ac:dyDescent="0.3">
      <c r="A967" s="13">
        <v>45808</v>
      </c>
      <c r="B967" s="7" t="s">
        <v>130</v>
      </c>
      <c r="C967" s="7" t="s">
        <v>31</v>
      </c>
      <c r="D967" s="7" t="s">
        <v>102</v>
      </c>
      <c r="E967" s="7" t="s">
        <v>30</v>
      </c>
      <c r="F967" s="14">
        <v>802</v>
      </c>
      <c r="G967" s="15">
        <v>93.66</v>
      </c>
      <c r="H967" s="16">
        <v>4.1901712041904703E-2</v>
      </c>
      <c r="I967" s="16">
        <v>2.4050136192530581E-2</v>
      </c>
      <c r="J967" s="15">
        <v>68.52</v>
      </c>
      <c r="K967" s="14">
        <v>69</v>
      </c>
      <c r="L967" s="14">
        <v>4</v>
      </c>
      <c r="M967" s="15">
        <v>5.05</v>
      </c>
      <c r="N967" s="17">
        <v>75115.319999999992</v>
      </c>
      <c r="O967" s="17">
        <v>3147.4605085755238</v>
      </c>
      <c r="P967" s="17">
        <v>1730.8368222536631</v>
      </c>
      <c r="Q967" s="17">
        <v>70237.022669170809</v>
      </c>
      <c r="R967" s="17">
        <v>54953.039999999994</v>
      </c>
      <c r="S967" s="17">
        <v>15283.982669170809</v>
      </c>
      <c r="T967" s="17">
        <v>20.2</v>
      </c>
    </row>
    <row r="968" spans="1:20" x14ac:dyDescent="0.3">
      <c r="A968" s="13">
        <v>45808</v>
      </c>
      <c r="B968" s="7" t="s">
        <v>130</v>
      </c>
      <c r="C968" s="7" t="s">
        <v>31</v>
      </c>
      <c r="D968" s="7" t="s">
        <v>103</v>
      </c>
      <c r="E968" s="7" t="s">
        <v>25</v>
      </c>
      <c r="F968" s="14">
        <v>972</v>
      </c>
      <c r="G968" s="15">
        <v>201.92</v>
      </c>
      <c r="H968" s="16">
        <v>4.8317064866815577E-2</v>
      </c>
      <c r="I968" s="16">
        <v>5.3142265757035789E-2</v>
      </c>
      <c r="J968" s="15">
        <v>122.65</v>
      </c>
      <c r="K968" s="14">
        <v>645</v>
      </c>
      <c r="L968" s="14">
        <v>279</v>
      </c>
      <c r="M968" s="15">
        <v>26.09</v>
      </c>
      <c r="N968" s="17">
        <v>196266.23999999999</v>
      </c>
      <c r="O968" s="17">
        <v>9483.0086492459941</v>
      </c>
      <c r="P968" s="17">
        <v>9926.0841193996694</v>
      </c>
      <c r="Q968" s="17">
        <v>176857.14723135429</v>
      </c>
      <c r="R968" s="17">
        <v>119215.8</v>
      </c>
      <c r="S968" s="17">
        <v>57641.347231354353</v>
      </c>
      <c r="T968" s="17">
        <v>7279.11</v>
      </c>
    </row>
    <row r="969" spans="1:20" x14ac:dyDescent="0.3">
      <c r="A969" s="13">
        <v>45808</v>
      </c>
      <c r="B969" s="7" t="s">
        <v>130</v>
      </c>
      <c r="C969" s="7" t="s">
        <v>31</v>
      </c>
      <c r="D969" s="7" t="s">
        <v>103</v>
      </c>
      <c r="E969" s="7" t="s">
        <v>28</v>
      </c>
      <c r="F969" s="14">
        <v>482</v>
      </c>
      <c r="G969" s="15">
        <v>209.51</v>
      </c>
      <c r="H969" s="16">
        <v>6.6725165553281521E-2</v>
      </c>
      <c r="I969" s="16">
        <v>7.0407351807886528E-2</v>
      </c>
      <c r="J969" s="15">
        <v>124.28</v>
      </c>
      <c r="K969" s="14">
        <v>425</v>
      </c>
      <c r="L969" s="14">
        <v>127</v>
      </c>
      <c r="M969" s="15">
        <v>20.89</v>
      </c>
      <c r="N969" s="17">
        <v>100983.82</v>
      </c>
      <c r="O969" s="17">
        <v>6738.1621077027812</v>
      </c>
      <c r="P969" s="17">
        <v>6635.5871915886873</v>
      </c>
      <c r="Q969" s="17">
        <v>87610.070700708529</v>
      </c>
      <c r="R969" s="17">
        <v>59902.96</v>
      </c>
      <c r="S969" s="17">
        <v>27707.11070070853</v>
      </c>
      <c r="T969" s="17">
        <v>2653.03</v>
      </c>
    </row>
    <row r="970" spans="1:20" x14ac:dyDescent="0.3">
      <c r="A970" s="13">
        <v>45808</v>
      </c>
      <c r="B970" s="7" t="s">
        <v>130</v>
      </c>
      <c r="C970" s="7" t="s">
        <v>31</v>
      </c>
      <c r="D970" s="7" t="s">
        <v>103</v>
      </c>
      <c r="E970" s="7" t="s">
        <v>30</v>
      </c>
      <c r="F970" s="14">
        <v>333</v>
      </c>
      <c r="G970" s="15">
        <v>175.11</v>
      </c>
      <c r="H970" s="16">
        <v>4.3614840617694182E-2</v>
      </c>
      <c r="I970" s="16">
        <v>2.5200289453966952E-2</v>
      </c>
      <c r="J970" s="15">
        <v>116.41</v>
      </c>
      <c r="K970" s="14">
        <v>27</v>
      </c>
      <c r="L970" s="14">
        <v>2</v>
      </c>
      <c r="M970" s="15">
        <v>4.8</v>
      </c>
      <c r="N970" s="17">
        <v>58311.63</v>
      </c>
      <c r="O970" s="17">
        <v>2543.2524486079551</v>
      </c>
      <c r="P970" s="17">
        <v>1405.379256673192</v>
      </c>
      <c r="Q970" s="17">
        <v>54362.998294718847</v>
      </c>
      <c r="R970" s="17">
        <v>38764.53</v>
      </c>
      <c r="S970" s="17">
        <v>15598.468294718859</v>
      </c>
      <c r="T970" s="17">
        <v>9.6</v>
      </c>
    </row>
    <row r="971" spans="1:20" x14ac:dyDescent="0.3">
      <c r="A971" s="13">
        <v>45808</v>
      </c>
      <c r="B971" s="7" t="s">
        <v>130</v>
      </c>
      <c r="C971" s="7" t="s">
        <v>31</v>
      </c>
      <c r="D971" s="7" t="s">
        <v>104</v>
      </c>
      <c r="E971" s="7" t="s">
        <v>25</v>
      </c>
      <c r="F971" s="14">
        <v>642</v>
      </c>
      <c r="G971" s="15">
        <v>42.92</v>
      </c>
      <c r="H971" s="16">
        <v>8.3461732468347927E-2</v>
      </c>
      <c r="I971" s="16">
        <v>4.193406367189717E-2</v>
      </c>
      <c r="J971" s="15">
        <v>22.05</v>
      </c>
      <c r="K971" s="14">
        <v>436</v>
      </c>
      <c r="L971" s="14">
        <v>176</v>
      </c>
      <c r="M971" s="15">
        <v>32.61</v>
      </c>
      <c r="N971" s="17">
        <v>27554.639999999999</v>
      </c>
      <c r="O971" s="17">
        <v>2299.757991941638</v>
      </c>
      <c r="P971" s="17">
        <v>1059.03983015217</v>
      </c>
      <c r="Q971" s="17">
        <v>24195.84217790619</v>
      </c>
      <c r="R971" s="17">
        <v>14156.1</v>
      </c>
      <c r="S971" s="17">
        <v>10039.74217790619</v>
      </c>
      <c r="T971" s="17">
        <v>5739.36</v>
      </c>
    </row>
    <row r="972" spans="1:20" x14ac:dyDescent="0.3">
      <c r="A972" s="13">
        <v>45808</v>
      </c>
      <c r="B972" s="7" t="s">
        <v>130</v>
      </c>
      <c r="C972" s="7" t="s">
        <v>31</v>
      </c>
      <c r="D972" s="7" t="s">
        <v>104</v>
      </c>
      <c r="E972" s="7" t="s">
        <v>28</v>
      </c>
      <c r="F972" s="14">
        <v>308</v>
      </c>
      <c r="G972" s="15">
        <v>40.35</v>
      </c>
      <c r="H972" s="16">
        <v>7.9288293646573138E-2</v>
      </c>
      <c r="I972" s="16">
        <v>4.6123730692820469E-2</v>
      </c>
      <c r="J972" s="15">
        <v>21.72</v>
      </c>
      <c r="K972" s="14">
        <v>256</v>
      </c>
      <c r="L972" s="14">
        <v>82</v>
      </c>
      <c r="M972" s="15">
        <v>18.239999999999998</v>
      </c>
      <c r="N972" s="17">
        <v>12427.8</v>
      </c>
      <c r="O972" s="17">
        <v>985.37905578088169</v>
      </c>
      <c r="P972" s="17">
        <v>527.76714210505111</v>
      </c>
      <c r="Q972" s="17">
        <v>10914.65380211407</v>
      </c>
      <c r="R972" s="17">
        <v>6689.7599999999993</v>
      </c>
      <c r="S972" s="17">
        <v>4224.8938021140684</v>
      </c>
      <c r="T972" s="17">
        <v>1495.68</v>
      </c>
    </row>
    <row r="973" spans="1:20" x14ac:dyDescent="0.3">
      <c r="A973" s="13">
        <v>45808</v>
      </c>
      <c r="B973" s="7" t="s">
        <v>130</v>
      </c>
      <c r="C973" s="7" t="s">
        <v>31</v>
      </c>
      <c r="D973" s="7" t="s">
        <v>104</v>
      </c>
      <c r="E973" s="7" t="s">
        <v>30</v>
      </c>
      <c r="F973" s="14">
        <v>343</v>
      </c>
      <c r="G973" s="15">
        <v>35.229999999999997</v>
      </c>
      <c r="H973" s="16">
        <v>2.8997765394223399E-2</v>
      </c>
      <c r="I973" s="16">
        <v>1.5832008585167971E-2</v>
      </c>
      <c r="J973" s="15">
        <v>21.57</v>
      </c>
      <c r="K973" s="14">
        <v>27</v>
      </c>
      <c r="L973" s="14">
        <v>2</v>
      </c>
      <c r="M973" s="15">
        <v>4.28</v>
      </c>
      <c r="N973" s="17">
        <v>12083.89</v>
      </c>
      <c r="O973" s="17">
        <v>350.40580726960212</v>
      </c>
      <c r="P973" s="17">
        <v>185.76462247324031</v>
      </c>
      <c r="Q973" s="17">
        <v>11547.719570257161</v>
      </c>
      <c r="R973" s="17">
        <v>7398.51</v>
      </c>
      <c r="S973" s="17">
        <v>4149.2095702571569</v>
      </c>
      <c r="T973" s="17">
        <v>8.56</v>
      </c>
    </row>
    <row r="974" spans="1:20" x14ac:dyDescent="0.3">
      <c r="A974" s="13">
        <v>45838</v>
      </c>
      <c r="B974" s="7" t="s">
        <v>131</v>
      </c>
      <c r="C974" s="7" t="s">
        <v>24</v>
      </c>
      <c r="D974" s="7" t="s">
        <v>102</v>
      </c>
      <c r="E974" s="7" t="s">
        <v>25</v>
      </c>
      <c r="F974" s="14">
        <v>8721</v>
      </c>
      <c r="G974" s="15">
        <v>135.71</v>
      </c>
      <c r="H974" s="16">
        <v>7.4753308650675768E-2</v>
      </c>
      <c r="I974" s="16">
        <v>2.0772282279376639E-2</v>
      </c>
      <c r="J974" s="15">
        <v>75.16</v>
      </c>
      <c r="K974" s="14">
        <v>5881</v>
      </c>
      <c r="L974" s="14">
        <v>2292</v>
      </c>
      <c r="M974" s="15">
        <v>30.97</v>
      </c>
      <c r="N974" s="17">
        <v>1183526.9099999999</v>
      </c>
      <c r="O974" s="17">
        <v>88472.552399610577</v>
      </c>
      <c r="P974" s="17">
        <v>22746.778227336741</v>
      </c>
      <c r="Q974" s="17">
        <v>1072307.579373053</v>
      </c>
      <c r="R974" s="17">
        <v>655470.36</v>
      </c>
      <c r="S974" s="17">
        <v>416837.21937305282</v>
      </c>
      <c r="T974" s="17">
        <v>70983.239999999991</v>
      </c>
    </row>
    <row r="975" spans="1:20" x14ac:dyDescent="0.3">
      <c r="A975" s="13">
        <v>45838</v>
      </c>
      <c r="B975" s="7" t="s">
        <v>131</v>
      </c>
      <c r="C975" s="7" t="s">
        <v>24</v>
      </c>
      <c r="D975" s="7" t="s">
        <v>102</v>
      </c>
      <c r="E975" s="7" t="s">
        <v>28</v>
      </c>
      <c r="F975" s="14">
        <v>4196</v>
      </c>
      <c r="G975" s="15">
        <v>122.77</v>
      </c>
      <c r="H975" s="16">
        <v>8.2184151275789541E-2</v>
      </c>
      <c r="I975" s="16">
        <v>4.6554486782622292E-2</v>
      </c>
      <c r="J975" s="15">
        <v>72.89</v>
      </c>
      <c r="K975" s="14">
        <v>3441</v>
      </c>
      <c r="L975" s="14">
        <v>1040</v>
      </c>
      <c r="M975" s="15">
        <v>18.760000000000002</v>
      </c>
      <c r="N975" s="17">
        <v>515142.92</v>
      </c>
      <c r="O975" s="17">
        <v>42336.583665931947</v>
      </c>
      <c r="P975" s="17">
        <v>22011.256335604441</v>
      </c>
      <c r="Q975" s="17">
        <v>450795.07999846363</v>
      </c>
      <c r="R975" s="17">
        <v>305846.44</v>
      </c>
      <c r="S975" s="17">
        <v>144948.63999846359</v>
      </c>
      <c r="T975" s="17">
        <v>19510.400000000001</v>
      </c>
    </row>
    <row r="976" spans="1:20" x14ac:dyDescent="0.3">
      <c r="A976" s="13">
        <v>45838</v>
      </c>
      <c r="B976" s="7" t="s">
        <v>131</v>
      </c>
      <c r="C976" s="7" t="s">
        <v>24</v>
      </c>
      <c r="D976" s="7" t="s">
        <v>102</v>
      </c>
      <c r="E976" s="7" t="s">
        <v>30</v>
      </c>
      <c r="F976" s="14">
        <v>3636</v>
      </c>
      <c r="G976" s="15">
        <v>107.45</v>
      </c>
      <c r="H976" s="16">
        <v>4.5775015551719797E-2</v>
      </c>
      <c r="I976" s="16">
        <v>2.582797447572064E-2</v>
      </c>
      <c r="J976" s="15">
        <v>73.75</v>
      </c>
      <c r="K976" s="14">
        <v>313</v>
      </c>
      <c r="L976" s="14">
        <v>18</v>
      </c>
      <c r="M976" s="15">
        <v>4.8</v>
      </c>
      <c r="N976" s="17">
        <v>390688.2</v>
      </c>
      <c r="O976" s="17">
        <v>17883.758430873411</v>
      </c>
      <c r="P976" s="17">
        <v>9628.7836012826883</v>
      </c>
      <c r="Q976" s="17">
        <v>363175.65796784387</v>
      </c>
      <c r="R976" s="17">
        <v>268155</v>
      </c>
      <c r="S976" s="17">
        <v>95020.65796784393</v>
      </c>
      <c r="T976" s="17">
        <v>86.399999999999991</v>
      </c>
    </row>
    <row r="977" spans="1:20" x14ac:dyDescent="0.3">
      <c r="A977" s="13">
        <v>45838</v>
      </c>
      <c r="B977" s="7" t="s">
        <v>131</v>
      </c>
      <c r="C977" s="7" t="s">
        <v>24</v>
      </c>
      <c r="D977" s="7" t="s">
        <v>103</v>
      </c>
      <c r="E977" s="7" t="s">
        <v>25</v>
      </c>
      <c r="F977" s="14">
        <v>4223</v>
      </c>
      <c r="G977" s="15">
        <v>242.97</v>
      </c>
      <c r="H977" s="16">
        <v>6.5777524164993315E-2</v>
      </c>
      <c r="I977" s="16">
        <v>3.7297323956361109E-2</v>
      </c>
      <c r="J977" s="15">
        <v>127.48</v>
      </c>
      <c r="K977" s="14">
        <v>2778</v>
      </c>
      <c r="L977" s="14">
        <v>1043</v>
      </c>
      <c r="M977" s="15">
        <v>27.25</v>
      </c>
      <c r="N977" s="17">
        <v>1026062.31</v>
      </c>
      <c r="O977" s="17">
        <v>67491.838390813864</v>
      </c>
      <c r="P977" s="17">
        <v>35752.113414609659</v>
      </c>
      <c r="Q977" s="17">
        <v>922818.35819457634</v>
      </c>
      <c r="R977" s="17">
        <v>538348.04</v>
      </c>
      <c r="S977" s="17">
        <v>384470.31819457631</v>
      </c>
      <c r="T977" s="17">
        <v>28421.75</v>
      </c>
    </row>
    <row r="978" spans="1:20" x14ac:dyDescent="0.3">
      <c r="A978" s="13">
        <v>45838</v>
      </c>
      <c r="B978" s="7" t="s">
        <v>131</v>
      </c>
      <c r="C978" s="7" t="s">
        <v>24</v>
      </c>
      <c r="D978" s="7" t="s">
        <v>103</v>
      </c>
      <c r="E978" s="7" t="s">
        <v>28</v>
      </c>
      <c r="F978" s="14">
        <v>2105</v>
      </c>
      <c r="G978" s="15">
        <v>222.19</v>
      </c>
      <c r="H978" s="16">
        <v>8.915093279685192E-2</v>
      </c>
      <c r="I978" s="16">
        <v>5.328183532602062E-2</v>
      </c>
      <c r="J978" s="15">
        <v>129.15</v>
      </c>
      <c r="K978" s="14">
        <v>1749</v>
      </c>
      <c r="L978" s="14">
        <v>516</v>
      </c>
      <c r="M978" s="15">
        <v>16.72</v>
      </c>
      <c r="N978" s="17">
        <v>467709.95</v>
      </c>
      <c r="O978" s="17">
        <v>41696.778320868973</v>
      </c>
      <c r="P978" s="17">
        <v>22698.763660123212</v>
      </c>
      <c r="Q978" s="17">
        <v>403314.40801900782</v>
      </c>
      <c r="R978" s="17">
        <v>271860.75</v>
      </c>
      <c r="S978" s="17">
        <v>131453.65801900779</v>
      </c>
      <c r="T978" s="17">
        <v>8627.5199999999986</v>
      </c>
    </row>
    <row r="979" spans="1:20" x14ac:dyDescent="0.3">
      <c r="A979" s="13">
        <v>45838</v>
      </c>
      <c r="B979" s="7" t="s">
        <v>131</v>
      </c>
      <c r="C979" s="7" t="s">
        <v>24</v>
      </c>
      <c r="D979" s="7" t="s">
        <v>103</v>
      </c>
      <c r="E979" s="7" t="s">
        <v>30</v>
      </c>
      <c r="F979" s="14">
        <v>1977</v>
      </c>
      <c r="G979" s="15">
        <v>195.94</v>
      </c>
      <c r="H979" s="16">
        <v>3.6096060271982831E-2</v>
      </c>
      <c r="I979" s="16">
        <v>1.8366762184056942E-2</v>
      </c>
      <c r="J979" s="15">
        <v>134.26</v>
      </c>
      <c r="K979" s="14">
        <v>174</v>
      </c>
      <c r="L979" s="14">
        <v>10</v>
      </c>
      <c r="M979" s="15">
        <v>4.72</v>
      </c>
      <c r="N979" s="17">
        <v>387373.38</v>
      </c>
      <c r="O979" s="17">
        <v>13982.65287224171</v>
      </c>
      <c r="P979" s="17">
        <v>6857.9786868876363</v>
      </c>
      <c r="Q979" s="17">
        <v>366532.74844087072</v>
      </c>
      <c r="R979" s="17">
        <v>265432.02</v>
      </c>
      <c r="S979" s="17">
        <v>101100.72844087071</v>
      </c>
      <c r="T979" s="17">
        <v>47.2</v>
      </c>
    </row>
    <row r="980" spans="1:20" x14ac:dyDescent="0.3">
      <c r="A980" s="13">
        <v>45838</v>
      </c>
      <c r="B980" s="7" t="s">
        <v>131</v>
      </c>
      <c r="C980" s="7" t="s">
        <v>24</v>
      </c>
      <c r="D980" s="7" t="s">
        <v>104</v>
      </c>
      <c r="E980" s="7" t="s">
        <v>25</v>
      </c>
      <c r="F980" s="14">
        <v>3483</v>
      </c>
      <c r="G980" s="15">
        <v>47.75</v>
      </c>
      <c r="H980" s="16">
        <v>4.9145798657326933E-2</v>
      </c>
      <c r="I980" s="16">
        <v>3.114029266102223E-2</v>
      </c>
      <c r="J980" s="15">
        <v>21.23</v>
      </c>
      <c r="K980" s="14">
        <v>2454</v>
      </c>
      <c r="L980" s="14">
        <v>877</v>
      </c>
      <c r="M980" s="15">
        <v>35.14</v>
      </c>
      <c r="N980" s="17">
        <v>166313.25</v>
      </c>
      <c r="O980" s="17">
        <v>8173.5974985456778</v>
      </c>
      <c r="P980" s="17">
        <v>4924.5150602076437</v>
      </c>
      <c r="Q980" s="17">
        <v>153215.13744124671</v>
      </c>
      <c r="R980" s="17">
        <v>73944.09</v>
      </c>
      <c r="S980" s="17">
        <v>79271.047441246687</v>
      </c>
      <c r="T980" s="17">
        <v>30817.78</v>
      </c>
    </row>
    <row r="981" spans="1:20" x14ac:dyDescent="0.3">
      <c r="A981" s="13">
        <v>45838</v>
      </c>
      <c r="B981" s="7" t="s">
        <v>131</v>
      </c>
      <c r="C981" s="7" t="s">
        <v>24</v>
      </c>
      <c r="D981" s="7" t="s">
        <v>104</v>
      </c>
      <c r="E981" s="7" t="s">
        <v>28</v>
      </c>
      <c r="F981" s="14">
        <v>2148</v>
      </c>
      <c r="G981" s="15">
        <v>45.13</v>
      </c>
      <c r="H981" s="16">
        <v>8.380516259216253E-2</v>
      </c>
      <c r="I981" s="16">
        <v>4.4736228341799363E-2</v>
      </c>
      <c r="J981" s="15">
        <v>23.82</v>
      </c>
      <c r="K981" s="14">
        <v>1801</v>
      </c>
      <c r="L981" s="14">
        <v>494</v>
      </c>
      <c r="M981" s="15">
        <v>20.63</v>
      </c>
      <c r="N981" s="17">
        <v>96939.24</v>
      </c>
      <c r="O981" s="17">
        <v>8124.0087697606659</v>
      </c>
      <c r="P981" s="17">
        <v>3973.2584645456968</v>
      </c>
      <c r="Q981" s="17">
        <v>84841.972765693645</v>
      </c>
      <c r="R981" s="17">
        <v>51165.36</v>
      </c>
      <c r="S981" s="17">
        <v>33676.612765693637</v>
      </c>
      <c r="T981" s="17">
        <v>10191.219999999999</v>
      </c>
    </row>
    <row r="982" spans="1:20" x14ac:dyDescent="0.3">
      <c r="A982" s="13">
        <v>45838</v>
      </c>
      <c r="B982" s="7" t="s">
        <v>131</v>
      </c>
      <c r="C982" s="7" t="s">
        <v>24</v>
      </c>
      <c r="D982" s="7" t="s">
        <v>104</v>
      </c>
      <c r="E982" s="7" t="s">
        <v>30</v>
      </c>
      <c r="F982" s="14">
        <v>964</v>
      </c>
      <c r="G982" s="15">
        <v>41.91</v>
      </c>
      <c r="H982" s="16">
        <v>5.7191272138515777E-2</v>
      </c>
      <c r="I982" s="16">
        <v>1.5490036752784009E-2</v>
      </c>
      <c r="J982" s="15">
        <v>25.19</v>
      </c>
      <c r="K982" s="14">
        <v>83</v>
      </c>
      <c r="L982" s="14">
        <v>5</v>
      </c>
      <c r="M982" s="15">
        <v>4.68</v>
      </c>
      <c r="N982" s="17">
        <v>40401.24</v>
      </c>
      <c r="O982" s="17">
        <v>2310.5983115734889</v>
      </c>
      <c r="P982" s="17">
        <v>590.02543969085355</v>
      </c>
      <c r="Q982" s="17">
        <v>37500.616248735649</v>
      </c>
      <c r="R982" s="17">
        <v>24283.16</v>
      </c>
      <c r="S982" s="17">
        <v>13217.456248735651</v>
      </c>
      <c r="T982" s="17">
        <v>23.4</v>
      </c>
    </row>
    <row r="983" spans="1:20" x14ac:dyDescent="0.3">
      <c r="A983" s="13">
        <v>45838</v>
      </c>
      <c r="B983" s="7" t="s">
        <v>131</v>
      </c>
      <c r="C983" s="7" t="s">
        <v>27</v>
      </c>
      <c r="D983" s="7" t="s">
        <v>102</v>
      </c>
      <c r="E983" s="7" t="s">
        <v>25</v>
      </c>
      <c r="F983" s="14">
        <v>5648</v>
      </c>
      <c r="G983" s="15">
        <v>141.91999999999999</v>
      </c>
      <c r="H983" s="16">
        <v>4.8119305310364277E-2</v>
      </c>
      <c r="I983" s="16">
        <v>3.7612473979365658E-2</v>
      </c>
      <c r="J983" s="15">
        <v>79.8</v>
      </c>
      <c r="K983" s="14">
        <v>3946</v>
      </c>
      <c r="L983" s="14">
        <v>1447</v>
      </c>
      <c r="M983" s="15">
        <v>31.67</v>
      </c>
      <c r="N983" s="17">
        <v>801564.15999999992</v>
      </c>
      <c r="O983" s="17">
        <v>38570.710540885681</v>
      </c>
      <c r="P983" s="17">
        <v>28698.071264207381</v>
      </c>
      <c r="Q983" s="17">
        <v>734295.37819490687</v>
      </c>
      <c r="R983" s="17">
        <v>450710.4</v>
      </c>
      <c r="S983" s="17">
        <v>283584.9781949069</v>
      </c>
      <c r="T983" s="17">
        <v>45826.490000000013</v>
      </c>
    </row>
    <row r="984" spans="1:20" x14ac:dyDescent="0.3">
      <c r="A984" s="13">
        <v>45838</v>
      </c>
      <c r="B984" s="7" t="s">
        <v>131</v>
      </c>
      <c r="C984" s="7" t="s">
        <v>27</v>
      </c>
      <c r="D984" s="7" t="s">
        <v>102</v>
      </c>
      <c r="E984" s="7" t="s">
        <v>28</v>
      </c>
      <c r="F984" s="14">
        <v>2930</v>
      </c>
      <c r="G984" s="15">
        <v>126.62</v>
      </c>
      <c r="H984" s="16">
        <v>9.7891074699805361E-2</v>
      </c>
      <c r="I984" s="16">
        <v>5.5977912911373551E-2</v>
      </c>
      <c r="J984" s="15">
        <v>77.22</v>
      </c>
      <c r="K984" s="14">
        <v>2488</v>
      </c>
      <c r="L984" s="14">
        <v>799</v>
      </c>
      <c r="M984" s="15">
        <v>21.43</v>
      </c>
      <c r="N984" s="17">
        <v>370996.6</v>
      </c>
      <c r="O984" s="17">
        <v>36317.255883973812</v>
      </c>
      <c r="P984" s="17">
        <v>18734.651178162541</v>
      </c>
      <c r="Q984" s="17">
        <v>315944.6929378637</v>
      </c>
      <c r="R984" s="17">
        <v>226254.6</v>
      </c>
      <c r="S984" s="17">
        <v>89690.092937863694</v>
      </c>
      <c r="T984" s="17">
        <v>17122.57</v>
      </c>
    </row>
    <row r="985" spans="1:20" x14ac:dyDescent="0.3">
      <c r="A985" s="13">
        <v>45838</v>
      </c>
      <c r="B985" s="7" t="s">
        <v>131</v>
      </c>
      <c r="C985" s="7" t="s">
        <v>27</v>
      </c>
      <c r="D985" s="7" t="s">
        <v>102</v>
      </c>
      <c r="E985" s="7" t="s">
        <v>30</v>
      </c>
      <c r="F985" s="14">
        <v>1843</v>
      </c>
      <c r="G985" s="15">
        <v>113.64</v>
      </c>
      <c r="H985" s="16">
        <v>4.79825940662729E-2</v>
      </c>
      <c r="I985" s="16">
        <v>1.9397064057632651E-2</v>
      </c>
      <c r="J985" s="15">
        <v>73.75</v>
      </c>
      <c r="K985" s="14">
        <v>147</v>
      </c>
      <c r="L985" s="14">
        <v>8</v>
      </c>
      <c r="M985" s="15">
        <v>4.5599999999999996</v>
      </c>
      <c r="N985" s="17">
        <v>209438.52</v>
      </c>
      <c r="O985" s="17">
        <v>10049.40348700098</v>
      </c>
      <c r="P985" s="17">
        <v>3867.5634653974221</v>
      </c>
      <c r="Q985" s="17">
        <v>195521.5530476016</v>
      </c>
      <c r="R985" s="17">
        <v>135921.25</v>
      </c>
      <c r="S985" s="17">
        <v>59600.30304760157</v>
      </c>
      <c r="T985" s="17">
        <v>36.479999999999997</v>
      </c>
    </row>
    <row r="986" spans="1:20" x14ac:dyDescent="0.3">
      <c r="A986" s="13">
        <v>45838</v>
      </c>
      <c r="B986" s="7" t="s">
        <v>131</v>
      </c>
      <c r="C986" s="7" t="s">
        <v>27</v>
      </c>
      <c r="D986" s="7" t="s">
        <v>103</v>
      </c>
      <c r="E986" s="7" t="s">
        <v>25</v>
      </c>
      <c r="F986" s="14">
        <v>2185</v>
      </c>
      <c r="G986" s="15">
        <v>250.06</v>
      </c>
      <c r="H986" s="16">
        <v>7.0013708746829717E-2</v>
      </c>
      <c r="I986" s="16">
        <v>3.9288797091696637E-2</v>
      </c>
      <c r="J986" s="15">
        <v>132.06</v>
      </c>
      <c r="K986" s="14">
        <v>1439</v>
      </c>
      <c r="L986" s="14">
        <v>560</v>
      </c>
      <c r="M986" s="15">
        <v>30.4</v>
      </c>
      <c r="N986" s="17">
        <v>546381.1</v>
      </c>
      <c r="O986" s="17">
        <v>38254.167200172436</v>
      </c>
      <c r="P986" s="17">
        <v>19963.695959598601</v>
      </c>
      <c r="Q986" s="17">
        <v>488163.23684022902</v>
      </c>
      <c r="R986" s="17">
        <v>288551.09999999998</v>
      </c>
      <c r="S986" s="17">
        <v>199612.13684022901</v>
      </c>
      <c r="T986" s="17">
        <v>17024</v>
      </c>
    </row>
    <row r="987" spans="1:20" x14ac:dyDescent="0.3">
      <c r="A987" s="13">
        <v>45838</v>
      </c>
      <c r="B987" s="7" t="s">
        <v>131</v>
      </c>
      <c r="C987" s="7" t="s">
        <v>27</v>
      </c>
      <c r="D987" s="7" t="s">
        <v>103</v>
      </c>
      <c r="E987" s="7" t="s">
        <v>28</v>
      </c>
      <c r="F987" s="14">
        <v>1492</v>
      </c>
      <c r="G987" s="15">
        <v>245.58</v>
      </c>
      <c r="H987" s="16">
        <v>8.7136789456074254E-2</v>
      </c>
      <c r="I987" s="16">
        <v>6.8133045103635714E-2</v>
      </c>
      <c r="J987" s="15">
        <v>130.38</v>
      </c>
      <c r="K987" s="14">
        <v>1282</v>
      </c>
      <c r="L987" s="14">
        <v>392</v>
      </c>
      <c r="M987" s="15">
        <v>18.010000000000002</v>
      </c>
      <c r="N987" s="17">
        <v>366405.36</v>
      </c>
      <c r="O987" s="17">
        <v>31927.386709897091</v>
      </c>
      <c r="P987" s="17">
        <v>22789.00284034725</v>
      </c>
      <c r="Q987" s="17">
        <v>311688.97044975572</v>
      </c>
      <c r="R987" s="17">
        <v>194526.96</v>
      </c>
      <c r="S987" s="17">
        <v>117162.0104497557</v>
      </c>
      <c r="T987" s="17">
        <v>7059.920000000001</v>
      </c>
    </row>
    <row r="988" spans="1:20" x14ac:dyDescent="0.3">
      <c r="A988" s="13">
        <v>45838</v>
      </c>
      <c r="B988" s="7" t="s">
        <v>131</v>
      </c>
      <c r="C988" s="7" t="s">
        <v>27</v>
      </c>
      <c r="D988" s="7" t="s">
        <v>103</v>
      </c>
      <c r="E988" s="7" t="s">
        <v>30</v>
      </c>
      <c r="F988" s="14">
        <v>989</v>
      </c>
      <c r="G988" s="15">
        <v>213.71</v>
      </c>
      <c r="H988" s="16">
        <v>4.786363547688078E-2</v>
      </c>
      <c r="I988" s="16">
        <v>2.5855509858347801E-2</v>
      </c>
      <c r="J988" s="15">
        <v>126.75</v>
      </c>
      <c r="K988" s="14">
        <v>81</v>
      </c>
      <c r="L988" s="14">
        <v>5</v>
      </c>
      <c r="M988" s="15">
        <v>6.16</v>
      </c>
      <c r="N988" s="17">
        <v>211359.19</v>
      </c>
      <c r="O988" s="17">
        <v>10116.419224848791</v>
      </c>
      <c r="P988" s="17">
        <v>5203.2344436981484</v>
      </c>
      <c r="Q988" s="17">
        <v>196039.5363314531</v>
      </c>
      <c r="R988" s="17">
        <v>125355.75</v>
      </c>
      <c r="S988" s="17">
        <v>70683.78633145307</v>
      </c>
      <c r="T988" s="17">
        <v>30.8</v>
      </c>
    </row>
    <row r="989" spans="1:20" x14ac:dyDescent="0.3">
      <c r="A989" s="13">
        <v>45838</v>
      </c>
      <c r="B989" s="7" t="s">
        <v>131</v>
      </c>
      <c r="C989" s="7" t="s">
        <v>27</v>
      </c>
      <c r="D989" s="7" t="s">
        <v>104</v>
      </c>
      <c r="E989" s="7" t="s">
        <v>25</v>
      </c>
      <c r="F989" s="14">
        <v>2158</v>
      </c>
      <c r="G989" s="15">
        <v>52.88</v>
      </c>
      <c r="H989" s="16">
        <v>6.2823508646072168E-2</v>
      </c>
      <c r="I989" s="16">
        <v>2.5153952080803479E-2</v>
      </c>
      <c r="J989" s="15">
        <v>24.59</v>
      </c>
      <c r="K989" s="14">
        <v>1524</v>
      </c>
      <c r="L989" s="14">
        <v>548</v>
      </c>
      <c r="M989" s="15">
        <v>39.75</v>
      </c>
      <c r="N989" s="17">
        <v>114115.04</v>
      </c>
      <c r="O989" s="17">
        <v>7169.1072020868714</v>
      </c>
      <c r="P989" s="17">
        <v>2690.1128688355361</v>
      </c>
      <c r="Q989" s="17">
        <v>104255.8199290776</v>
      </c>
      <c r="R989" s="17">
        <v>53065.22</v>
      </c>
      <c r="S989" s="17">
        <v>51190.599929077587</v>
      </c>
      <c r="T989" s="17">
        <v>21783</v>
      </c>
    </row>
    <row r="990" spans="1:20" x14ac:dyDescent="0.3">
      <c r="A990" s="13">
        <v>45838</v>
      </c>
      <c r="B990" s="7" t="s">
        <v>131</v>
      </c>
      <c r="C990" s="7" t="s">
        <v>27</v>
      </c>
      <c r="D990" s="7" t="s">
        <v>104</v>
      </c>
      <c r="E990" s="7" t="s">
        <v>28</v>
      </c>
      <c r="F990" s="14">
        <v>1007</v>
      </c>
      <c r="G990" s="15">
        <v>50.58</v>
      </c>
      <c r="H990" s="16">
        <v>6.0049305459660147E-2</v>
      </c>
      <c r="I990" s="16">
        <v>9.628166668970195E-2</v>
      </c>
      <c r="J990" s="15">
        <v>25.23</v>
      </c>
      <c r="K990" s="14">
        <v>885</v>
      </c>
      <c r="L990" s="14">
        <v>262</v>
      </c>
      <c r="M990" s="15">
        <v>17.079999999999998</v>
      </c>
      <c r="N990" s="17">
        <v>50934.06</v>
      </c>
      <c r="O990" s="17">
        <v>3058.5549272406579</v>
      </c>
      <c r="P990" s="17">
        <v>4609.5334220165496</v>
      </c>
      <c r="Q990" s="17">
        <v>43265.971650742787</v>
      </c>
      <c r="R990" s="17">
        <v>25406.61</v>
      </c>
      <c r="S990" s="17">
        <v>17859.361650742791</v>
      </c>
      <c r="T990" s="17">
        <v>4474.9599999999991</v>
      </c>
    </row>
    <row r="991" spans="1:20" x14ac:dyDescent="0.3">
      <c r="A991" s="13">
        <v>45838</v>
      </c>
      <c r="B991" s="7" t="s">
        <v>131</v>
      </c>
      <c r="C991" s="7" t="s">
        <v>27</v>
      </c>
      <c r="D991" s="7" t="s">
        <v>104</v>
      </c>
      <c r="E991" s="7" t="s">
        <v>30</v>
      </c>
      <c r="F991" s="14">
        <v>583</v>
      </c>
      <c r="G991" s="15">
        <v>43.69</v>
      </c>
      <c r="H991" s="16">
        <v>4.2469394314985698E-2</v>
      </c>
      <c r="I991" s="16">
        <v>1.5292984154989879E-2</v>
      </c>
      <c r="J991" s="15">
        <v>24.96</v>
      </c>
      <c r="K991" s="14">
        <v>49</v>
      </c>
      <c r="L991" s="14">
        <v>3</v>
      </c>
      <c r="M991" s="15">
        <v>5.73</v>
      </c>
      <c r="N991" s="17">
        <v>25471.27</v>
      </c>
      <c r="O991" s="17">
        <v>1081.749409333466</v>
      </c>
      <c r="P991" s="17">
        <v>372.98855194086258</v>
      </c>
      <c r="Q991" s="17">
        <v>24016.532038725669</v>
      </c>
      <c r="R991" s="17">
        <v>14551.68</v>
      </c>
      <c r="S991" s="17">
        <v>9464.8520387256722</v>
      </c>
      <c r="T991" s="17">
        <v>17.190000000000001</v>
      </c>
    </row>
    <row r="992" spans="1:20" x14ac:dyDescent="0.3">
      <c r="A992" s="13">
        <v>45838</v>
      </c>
      <c r="B992" s="7" t="s">
        <v>131</v>
      </c>
      <c r="C992" s="7" t="s">
        <v>29</v>
      </c>
      <c r="D992" s="7" t="s">
        <v>102</v>
      </c>
      <c r="E992" s="7" t="s">
        <v>25</v>
      </c>
      <c r="F992" s="14">
        <v>5885</v>
      </c>
      <c r="G992" s="15">
        <v>126.62</v>
      </c>
      <c r="H992" s="16">
        <v>5.7566657407777867E-2</v>
      </c>
      <c r="I992" s="16">
        <v>2.6102198568073311E-2</v>
      </c>
      <c r="J992" s="15">
        <v>75.34</v>
      </c>
      <c r="K992" s="14">
        <v>4060</v>
      </c>
      <c r="L992" s="14">
        <v>1412</v>
      </c>
      <c r="M992" s="15">
        <v>44.09</v>
      </c>
      <c r="N992" s="17">
        <v>745158.70000000007</v>
      </c>
      <c r="O992" s="17">
        <v>42896.295597325137</v>
      </c>
      <c r="P992" s="17">
        <v>18330.592726611219</v>
      </c>
      <c r="Q992" s="17">
        <v>683931.81167606369</v>
      </c>
      <c r="R992" s="17">
        <v>443375.9</v>
      </c>
      <c r="S992" s="17">
        <v>240555.9116760637</v>
      </c>
      <c r="T992" s="17">
        <v>62255.08</v>
      </c>
    </row>
    <row r="993" spans="1:20" x14ac:dyDescent="0.3">
      <c r="A993" s="13">
        <v>45838</v>
      </c>
      <c r="B993" s="7" t="s">
        <v>131</v>
      </c>
      <c r="C993" s="7" t="s">
        <v>29</v>
      </c>
      <c r="D993" s="7" t="s">
        <v>102</v>
      </c>
      <c r="E993" s="7" t="s">
        <v>28</v>
      </c>
      <c r="F993" s="14">
        <v>2228</v>
      </c>
      <c r="G993" s="15">
        <v>115.08</v>
      </c>
      <c r="H993" s="16">
        <v>8.1488810868496048E-2</v>
      </c>
      <c r="I993" s="16">
        <v>8.4556236119891132E-2</v>
      </c>
      <c r="J993" s="15">
        <v>70.709999999999994</v>
      </c>
      <c r="K993" s="14">
        <v>2017</v>
      </c>
      <c r="L993" s="14">
        <v>608</v>
      </c>
      <c r="M993" s="15">
        <v>20.38</v>
      </c>
      <c r="N993" s="17">
        <v>256398.24</v>
      </c>
      <c r="O993" s="17">
        <v>20893.58768637526</v>
      </c>
      <c r="P993" s="17">
        <v>19913.38698836372</v>
      </c>
      <c r="Q993" s="17">
        <v>215591.26532526099</v>
      </c>
      <c r="R993" s="17">
        <v>157541.88</v>
      </c>
      <c r="S993" s="17">
        <v>58049.385325261042</v>
      </c>
      <c r="T993" s="17">
        <v>12391.04</v>
      </c>
    </row>
    <row r="994" spans="1:20" x14ac:dyDescent="0.3">
      <c r="A994" s="13">
        <v>45838</v>
      </c>
      <c r="B994" s="7" t="s">
        <v>131</v>
      </c>
      <c r="C994" s="7" t="s">
        <v>29</v>
      </c>
      <c r="D994" s="7" t="s">
        <v>102</v>
      </c>
      <c r="E994" s="7" t="s">
        <v>30</v>
      </c>
      <c r="F994" s="14">
        <v>1623</v>
      </c>
      <c r="G994" s="15">
        <v>100.39</v>
      </c>
      <c r="H994" s="16">
        <v>3.7571227723478241E-2</v>
      </c>
      <c r="I994" s="16">
        <v>2.566402348587404E-2</v>
      </c>
      <c r="J994" s="15">
        <v>75.87</v>
      </c>
      <c r="K994" s="14">
        <v>133</v>
      </c>
      <c r="L994" s="14">
        <v>8</v>
      </c>
      <c r="M994" s="15">
        <v>5.58</v>
      </c>
      <c r="N994" s="17">
        <v>162932.97</v>
      </c>
      <c r="O994" s="17">
        <v>6121.5917195326483</v>
      </c>
      <c r="P994" s="17">
        <v>4024.4108950421919</v>
      </c>
      <c r="Q994" s="17">
        <v>152786.9673854252</v>
      </c>
      <c r="R994" s="17">
        <v>123137.01</v>
      </c>
      <c r="S994" s="17">
        <v>29649.957385425161</v>
      </c>
      <c r="T994" s="17">
        <v>44.64</v>
      </c>
    </row>
    <row r="995" spans="1:20" x14ac:dyDescent="0.3">
      <c r="A995" s="13">
        <v>45838</v>
      </c>
      <c r="B995" s="7" t="s">
        <v>131</v>
      </c>
      <c r="C995" s="7" t="s">
        <v>29</v>
      </c>
      <c r="D995" s="7" t="s">
        <v>103</v>
      </c>
      <c r="E995" s="7" t="s">
        <v>25</v>
      </c>
      <c r="F995" s="14">
        <v>1995</v>
      </c>
      <c r="G995" s="15">
        <v>228.42</v>
      </c>
      <c r="H995" s="16">
        <v>5.110920680874205E-2</v>
      </c>
      <c r="I995" s="16">
        <v>4.7230379395798647E-2</v>
      </c>
      <c r="J995" s="15">
        <v>124.44</v>
      </c>
      <c r="K995" s="14">
        <v>1348</v>
      </c>
      <c r="L995" s="14">
        <v>515</v>
      </c>
      <c r="M995" s="15">
        <v>22.12</v>
      </c>
      <c r="N995" s="17">
        <v>455697.9</v>
      </c>
      <c r="O995" s="17">
        <v>23290.35821340945</v>
      </c>
      <c r="P995" s="17">
        <v>20422.772252185328</v>
      </c>
      <c r="Q995" s="17">
        <v>411984.7695344052</v>
      </c>
      <c r="R995" s="17">
        <v>248257.8</v>
      </c>
      <c r="S995" s="17">
        <v>163726.96953440519</v>
      </c>
      <c r="T995" s="17">
        <v>11391.8</v>
      </c>
    </row>
    <row r="996" spans="1:20" x14ac:dyDescent="0.3">
      <c r="A996" s="13">
        <v>45838</v>
      </c>
      <c r="B996" s="7" t="s">
        <v>131</v>
      </c>
      <c r="C996" s="7" t="s">
        <v>29</v>
      </c>
      <c r="D996" s="7" t="s">
        <v>103</v>
      </c>
      <c r="E996" s="7" t="s">
        <v>28</v>
      </c>
      <c r="F996" s="14">
        <v>863</v>
      </c>
      <c r="G996" s="15">
        <v>223.07</v>
      </c>
      <c r="H996" s="16">
        <v>9.3215312632884975E-2</v>
      </c>
      <c r="I996" s="16">
        <v>4.7388421651520622E-2</v>
      </c>
      <c r="J996" s="15">
        <v>124.94</v>
      </c>
      <c r="K996" s="14">
        <v>705</v>
      </c>
      <c r="L996" s="14">
        <v>211</v>
      </c>
      <c r="M996" s="15">
        <v>16.86</v>
      </c>
      <c r="N996" s="17">
        <v>192509.41</v>
      </c>
      <c r="O996" s="17">
        <v>17944.824837922239</v>
      </c>
      <c r="P996" s="17">
        <v>8272.3401670833209</v>
      </c>
      <c r="Q996" s="17">
        <v>166292.24499499449</v>
      </c>
      <c r="R996" s="17">
        <v>107823.22</v>
      </c>
      <c r="S996" s="17">
        <v>58469.024994994463</v>
      </c>
      <c r="T996" s="17">
        <v>3557.46</v>
      </c>
    </row>
    <row r="997" spans="1:20" x14ac:dyDescent="0.3">
      <c r="A997" s="13">
        <v>45838</v>
      </c>
      <c r="B997" s="7" t="s">
        <v>131</v>
      </c>
      <c r="C997" s="7" t="s">
        <v>29</v>
      </c>
      <c r="D997" s="7" t="s">
        <v>103</v>
      </c>
      <c r="E997" s="7" t="s">
        <v>30</v>
      </c>
      <c r="F997" s="14">
        <v>865</v>
      </c>
      <c r="G997" s="15">
        <v>185.7</v>
      </c>
      <c r="H997" s="16">
        <v>4.9833763165599003E-2</v>
      </c>
      <c r="I997" s="16">
        <v>2.454011331268096E-2</v>
      </c>
      <c r="J997" s="15">
        <v>121.48</v>
      </c>
      <c r="K997" s="14">
        <v>74</v>
      </c>
      <c r="L997" s="14">
        <v>5</v>
      </c>
      <c r="M997" s="15">
        <v>6.99</v>
      </c>
      <c r="N997" s="17">
        <v>160630.5</v>
      </c>
      <c r="O997" s="17">
        <v>8004.8222941717504</v>
      </c>
      <c r="P997" s="17">
        <v>3745.4514253257489</v>
      </c>
      <c r="Q997" s="17">
        <v>148880.22628050251</v>
      </c>
      <c r="R997" s="17">
        <v>105080.2</v>
      </c>
      <c r="S997" s="17">
        <v>43800.026280502512</v>
      </c>
      <c r="T997" s="17">
        <v>34.950000000000003</v>
      </c>
    </row>
    <row r="998" spans="1:20" x14ac:dyDescent="0.3">
      <c r="A998" s="13">
        <v>45838</v>
      </c>
      <c r="B998" s="7" t="s">
        <v>131</v>
      </c>
      <c r="C998" s="7" t="s">
        <v>29</v>
      </c>
      <c r="D998" s="7" t="s">
        <v>104</v>
      </c>
      <c r="E998" s="7" t="s">
        <v>25</v>
      </c>
      <c r="F998" s="14">
        <v>1904</v>
      </c>
      <c r="G998" s="15">
        <v>48.76</v>
      </c>
      <c r="H998" s="16">
        <v>5.9702772626523952E-2</v>
      </c>
      <c r="I998" s="16">
        <v>3.4963497396244041E-2</v>
      </c>
      <c r="J998" s="15">
        <v>22.64</v>
      </c>
      <c r="K998" s="14">
        <v>1269</v>
      </c>
      <c r="L998" s="14">
        <v>530</v>
      </c>
      <c r="M998" s="15">
        <v>36.119999999999997</v>
      </c>
      <c r="N998" s="17">
        <v>92839.039999999994</v>
      </c>
      <c r="O998" s="17">
        <v>5542.7480959847617</v>
      </c>
      <c r="P998" s="17">
        <v>3052.1836746877962</v>
      </c>
      <c r="Q998" s="17">
        <v>84244.108229327438</v>
      </c>
      <c r="R998" s="17">
        <v>43106.559999999998</v>
      </c>
      <c r="S998" s="17">
        <v>41137.54822932744</v>
      </c>
      <c r="T998" s="17">
        <v>19143.599999999999</v>
      </c>
    </row>
    <row r="999" spans="1:20" x14ac:dyDescent="0.3">
      <c r="A999" s="13">
        <v>45838</v>
      </c>
      <c r="B999" s="7" t="s">
        <v>131</v>
      </c>
      <c r="C999" s="7" t="s">
        <v>29</v>
      </c>
      <c r="D999" s="7" t="s">
        <v>104</v>
      </c>
      <c r="E999" s="7" t="s">
        <v>28</v>
      </c>
      <c r="F999" s="14">
        <v>1027</v>
      </c>
      <c r="G999" s="15">
        <v>45.2</v>
      </c>
      <c r="H999" s="16">
        <v>8.5776707613804445E-2</v>
      </c>
      <c r="I999" s="16">
        <v>7.5463790075503606E-2</v>
      </c>
      <c r="J999" s="15">
        <v>22.56</v>
      </c>
      <c r="K999" s="14">
        <v>875</v>
      </c>
      <c r="L999" s="14">
        <v>264</v>
      </c>
      <c r="M999" s="15">
        <v>19.399999999999999</v>
      </c>
      <c r="N999" s="17">
        <v>46420.4</v>
      </c>
      <c r="O999" s="17">
        <v>3981.789078115848</v>
      </c>
      <c r="P999" s="17">
        <v>3202.57842570504</v>
      </c>
      <c r="Q999" s="17">
        <v>39236.032496179112</v>
      </c>
      <c r="R999" s="17">
        <v>23169.119999999999</v>
      </c>
      <c r="S999" s="17">
        <v>16066.912496179109</v>
      </c>
      <c r="T999" s="17">
        <v>5121.5999999999995</v>
      </c>
    </row>
    <row r="1000" spans="1:20" x14ac:dyDescent="0.3">
      <c r="A1000" s="13">
        <v>45838</v>
      </c>
      <c r="B1000" s="7" t="s">
        <v>131</v>
      </c>
      <c r="C1000" s="7" t="s">
        <v>29</v>
      </c>
      <c r="D1000" s="7" t="s">
        <v>104</v>
      </c>
      <c r="E1000" s="7" t="s">
        <v>30</v>
      </c>
      <c r="F1000" s="14">
        <v>640</v>
      </c>
      <c r="G1000" s="15">
        <v>39.29</v>
      </c>
      <c r="H1000" s="16">
        <v>3.5602443771348788E-2</v>
      </c>
      <c r="I1000" s="16">
        <v>1.629883873725646E-2</v>
      </c>
      <c r="J1000" s="15">
        <v>24.2</v>
      </c>
      <c r="K1000" s="14">
        <v>53</v>
      </c>
      <c r="L1000" s="14">
        <v>3</v>
      </c>
      <c r="M1000" s="15">
        <v>5.88</v>
      </c>
      <c r="N1000" s="17">
        <v>25145.599999999999</v>
      </c>
      <c r="O1000" s="17">
        <v>895.24481009682802</v>
      </c>
      <c r="P1000" s="17">
        <v>395.25262856142189</v>
      </c>
      <c r="Q1000" s="17">
        <v>23855.102561341751</v>
      </c>
      <c r="R1000" s="17">
        <v>15488</v>
      </c>
      <c r="S1000" s="17">
        <v>8367.1025613417478</v>
      </c>
      <c r="T1000" s="17">
        <v>17.64</v>
      </c>
    </row>
    <row r="1001" spans="1:20" x14ac:dyDescent="0.3">
      <c r="A1001" s="13">
        <v>45838</v>
      </c>
      <c r="B1001" s="7" t="s">
        <v>131</v>
      </c>
      <c r="C1001" s="7" t="s">
        <v>31</v>
      </c>
      <c r="D1001" s="7" t="s">
        <v>102</v>
      </c>
      <c r="E1001" s="7" t="s">
        <v>25</v>
      </c>
      <c r="F1001" s="14">
        <v>1461</v>
      </c>
      <c r="G1001" s="15">
        <v>111.77</v>
      </c>
      <c r="H1001" s="16">
        <v>3.1753368003893653E-2</v>
      </c>
      <c r="I1001" s="16">
        <v>3.8630104223060582E-2</v>
      </c>
      <c r="J1001" s="15">
        <v>67.78</v>
      </c>
      <c r="K1001" s="14">
        <v>985</v>
      </c>
      <c r="L1001" s="14">
        <v>334</v>
      </c>
      <c r="M1001" s="15">
        <v>32.35</v>
      </c>
      <c r="N1001" s="17">
        <v>163295.97</v>
      </c>
      <c r="O1001" s="17">
        <v>5185.197028962777</v>
      </c>
      <c r="P1001" s="17">
        <v>6107.8356386598371</v>
      </c>
      <c r="Q1001" s="17">
        <v>152002.93733237739</v>
      </c>
      <c r="R1001" s="17">
        <v>99026.58</v>
      </c>
      <c r="S1001" s="17">
        <v>52976.357332377389</v>
      </c>
      <c r="T1001" s="17">
        <v>10804.9</v>
      </c>
    </row>
    <row r="1002" spans="1:20" x14ac:dyDescent="0.3">
      <c r="A1002" s="13">
        <v>45838</v>
      </c>
      <c r="B1002" s="7" t="s">
        <v>131</v>
      </c>
      <c r="C1002" s="7" t="s">
        <v>31</v>
      </c>
      <c r="D1002" s="7" t="s">
        <v>102</v>
      </c>
      <c r="E1002" s="7" t="s">
        <v>28</v>
      </c>
      <c r="F1002" s="14">
        <v>761</v>
      </c>
      <c r="G1002" s="15">
        <v>111.67</v>
      </c>
      <c r="H1002" s="16">
        <v>0.1090533176335659</v>
      </c>
      <c r="I1002" s="16">
        <v>7.1780184045154238E-2</v>
      </c>
      <c r="J1002" s="15">
        <v>69.5</v>
      </c>
      <c r="K1002" s="14">
        <v>636</v>
      </c>
      <c r="L1002" s="14">
        <v>186</v>
      </c>
      <c r="M1002" s="15">
        <v>24.43</v>
      </c>
      <c r="N1002" s="17">
        <v>84980.87</v>
      </c>
      <c r="O1002" s="17">
        <v>9267.4458088867723</v>
      </c>
      <c r="P1002" s="17">
        <v>5434.7235231269406</v>
      </c>
      <c r="Q1002" s="17">
        <v>70278.700667986282</v>
      </c>
      <c r="R1002" s="17">
        <v>52889.5</v>
      </c>
      <c r="S1002" s="17">
        <v>17389.200667986279</v>
      </c>
      <c r="T1002" s="17">
        <v>4543.9799999999996</v>
      </c>
    </row>
    <row r="1003" spans="1:20" x14ac:dyDescent="0.3">
      <c r="A1003" s="13">
        <v>45838</v>
      </c>
      <c r="B1003" s="7" t="s">
        <v>131</v>
      </c>
      <c r="C1003" s="7" t="s">
        <v>31</v>
      </c>
      <c r="D1003" s="7" t="s">
        <v>102</v>
      </c>
      <c r="E1003" s="7" t="s">
        <v>30</v>
      </c>
      <c r="F1003" s="14">
        <v>617</v>
      </c>
      <c r="G1003" s="15">
        <v>99.18</v>
      </c>
      <c r="H1003" s="16">
        <v>3.8785966558779472E-2</v>
      </c>
      <c r="I1003" s="16">
        <v>1.9083773783953591E-2</v>
      </c>
      <c r="J1003" s="15">
        <v>67.150000000000006</v>
      </c>
      <c r="K1003" s="14">
        <v>49</v>
      </c>
      <c r="L1003" s="14">
        <v>3</v>
      </c>
      <c r="M1003" s="15">
        <v>5.85</v>
      </c>
      <c r="N1003" s="17">
        <v>61194.06</v>
      </c>
      <c r="O1003" s="17">
        <v>2373.4707647559449</v>
      </c>
      <c r="P1003" s="17">
        <v>1122.518818804253</v>
      </c>
      <c r="Q1003" s="17">
        <v>57698.070416439798</v>
      </c>
      <c r="R1003" s="17">
        <v>41431.550000000003</v>
      </c>
      <c r="S1003" s="17">
        <v>16266.5204164398</v>
      </c>
      <c r="T1003" s="17">
        <v>17.55</v>
      </c>
    </row>
    <row r="1004" spans="1:20" x14ac:dyDescent="0.3">
      <c r="A1004" s="13">
        <v>45838</v>
      </c>
      <c r="B1004" s="7" t="s">
        <v>131</v>
      </c>
      <c r="C1004" s="7" t="s">
        <v>31</v>
      </c>
      <c r="D1004" s="7" t="s">
        <v>103</v>
      </c>
      <c r="E1004" s="7" t="s">
        <v>25</v>
      </c>
      <c r="F1004" s="14">
        <v>1211</v>
      </c>
      <c r="G1004" s="15">
        <v>206.2</v>
      </c>
      <c r="H1004" s="16">
        <v>4.8361899746355269E-2</v>
      </c>
      <c r="I1004" s="16">
        <v>4.0838725017609337E-2</v>
      </c>
      <c r="J1004" s="15">
        <v>116.42</v>
      </c>
      <c r="K1004" s="14">
        <v>862</v>
      </c>
      <c r="L1004" s="14">
        <v>315</v>
      </c>
      <c r="M1004" s="15">
        <v>25.22</v>
      </c>
      <c r="N1004" s="17">
        <v>249708.2</v>
      </c>
      <c r="O1004" s="17">
        <v>12076.36293424283</v>
      </c>
      <c r="P1004" s="17">
        <v>9704.5812493578032</v>
      </c>
      <c r="Q1004" s="17">
        <v>227927.25581639941</v>
      </c>
      <c r="R1004" s="17">
        <v>140984.62</v>
      </c>
      <c r="S1004" s="17">
        <v>86942.635816399357</v>
      </c>
      <c r="T1004" s="17">
        <v>7944.2999999999993</v>
      </c>
    </row>
    <row r="1005" spans="1:20" x14ac:dyDescent="0.3">
      <c r="A1005" s="13">
        <v>45838</v>
      </c>
      <c r="B1005" s="7" t="s">
        <v>131</v>
      </c>
      <c r="C1005" s="7" t="s">
        <v>31</v>
      </c>
      <c r="D1005" s="7" t="s">
        <v>103</v>
      </c>
      <c r="E1005" s="7" t="s">
        <v>28</v>
      </c>
      <c r="F1005" s="14">
        <v>430</v>
      </c>
      <c r="G1005" s="15">
        <v>199.62</v>
      </c>
      <c r="H1005" s="16">
        <v>9.1067145329028765E-2</v>
      </c>
      <c r="I1005" s="16">
        <v>5.5677659542333238E-2</v>
      </c>
      <c r="J1005" s="15">
        <v>120.98</v>
      </c>
      <c r="K1005" s="14">
        <v>351</v>
      </c>
      <c r="L1005" s="14">
        <v>102</v>
      </c>
      <c r="M1005" s="15">
        <v>14.79</v>
      </c>
      <c r="N1005" s="17">
        <v>85836.6</v>
      </c>
      <c r="O1005" s="17">
        <v>7816.8941267497112</v>
      </c>
      <c r="P1005" s="17">
        <v>4343.9546212038067</v>
      </c>
      <c r="Q1005" s="17">
        <v>73675.751252046481</v>
      </c>
      <c r="R1005" s="17">
        <v>52021.4</v>
      </c>
      <c r="S1005" s="17">
        <v>21654.351252046479</v>
      </c>
      <c r="T1005" s="17">
        <v>1508.58</v>
      </c>
    </row>
    <row r="1006" spans="1:20" x14ac:dyDescent="0.3">
      <c r="A1006" s="13">
        <v>45838</v>
      </c>
      <c r="B1006" s="7" t="s">
        <v>131</v>
      </c>
      <c r="C1006" s="7" t="s">
        <v>31</v>
      </c>
      <c r="D1006" s="7" t="s">
        <v>103</v>
      </c>
      <c r="E1006" s="7" t="s">
        <v>30</v>
      </c>
      <c r="F1006" s="14">
        <v>378</v>
      </c>
      <c r="G1006" s="15">
        <v>176.41</v>
      </c>
      <c r="H1006" s="16">
        <v>3.4711397768638033E-2</v>
      </c>
      <c r="I1006" s="16">
        <v>2.045154899603217E-2</v>
      </c>
      <c r="J1006" s="15">
        <v>124.52</v>
      </c>
      <c r="K1006" s="14">
        <v>32</v>
      </c>
      <c r="L1006" s="14">
        <v>2</v>
      </c>
      <c r="M1006" s="15">
        <v>5.83</v>
      </c>
      <c r="N1006" s="17">
        <v>66682.98</v>
      </c>
      <c r="O1006" s="17">
        <v>2314.6594431781341</v>
      </c>
      <c r="P1006" s="17">
        <v>1316.431861660147</v>
      </c>
      <c r="Q1006" s="17">
        <v>63051.888695161717</v>
      </c>
      <c r="R1006" s="17">
        <v>47068.56</v>
      </c>
      <c r="S1006" s="17">
        <v>15983.328695161719</v>
      </c>
      <c r="T1006" s="17">
        <v>11.66</v>
      </c>
    </row>
    <row r="1007" spans="1:20" x14ac:dyDescent="0.3">
      <c r="A1007" s="13">
        <v>45838</v>
      </c>
      <c r="B1007" s="7" t="s">
        <v>131</v>
      </c>
      <c r="C1007" s="7" t="s">
        <v>31</v>
      </c>
      <c r="D1007" s="7" t="s">
        <v>104</v>
      </c>
      <c r="E1007" s="7" t="s">
        <v>25</v>
      </c>
      <c r="F1007" s="14">
        <v>821</v>
      </c>
      <c r="G1007" s="15">
        <v>43.66</v>
      </c>
      <c r="H1007" s="16">
        <v>5.4434714819602832E-2</v>
      </c>
      <c r="I1007" s="16">
        <v>3.2051063529983097E-2</v>
      </c>
      <c r="J1007" s="15">
        <v>20.69</v>
      </c>
      <c r="K1007" s="14">
        <v>558</v>
      </c>
      <c r="L1007" s="14">
        <v>224</v>
      </c>
      <c r="M1007" s="15">
        <v>32.89</v>
      </c>
      <c r="N1007" s="17">
        <v>35844.86</v>
      </c>
      <c r="O1007" s="17">
        <v>1951.2047318485891</v>
      </c>
      <c r="P1007" s="17">
        <v>1086.327698262867</v>
      </c>
      <c r="Q1007" s="17">
        <v>32807.327569888548</v>
      </c>
      <c r="R1007" s="17">
        <v>16986.490000000002</v>
      </c>
      <c r="S1007" s="17">
        <v>15820.83756988855</v>
      </c>
      <c r="T1007" s="17">
        <v>7367.3600000000006</v>
      </c>
    </row>
    <row r="1008" spans="1:20" x14ac:dyDescent="0.3">
      <c r="A1008" s="13">
        <v>45838</v>
      </c>
      <c r="B1008" s="7" t="s">
        <v>131</v>
      </c>
      <c r="C1008" s="7" t="s">
        <v>31</v>
      </c>
      <c r="D1008" s="7" t="s">
        <v>104</v>
      </c>
      <c r="E1008" s="7" t="s">
        <v>28</v>
      </c>
      <c r="F1008" s="14">
        <v>365</v>
      </c>
      <c r="G1008" s="15">
        <v>41.71</v>
      </c>
      <c r="H1008" s="16">
        <v>8.0585582923131699E-2</v>
      </c>
      <c r="I1008" s="16">
        <v>7.7072254964514267E-2</v>
      </c>
      <c r="J1008" s="15">
        <v>21.71</v>
      </c>
      <c r="K1008" s="14">
        <v>318</v>
      </c>
      <c r="L1008" s="14">
        <v>97</v>
      </c>
      <c r="M1008" s="15">
        <v>20.52</v>
      </c>
      <c r="N1008" s="17">
        <v>15224.15</v>
      </c>
      <c r="O1008" s="17">
        <v>1226.847002259196</v>
      </c>
      <c r="P1008" s="17">
        <v>1078.803705457439</v>
      </c>
      <c r="Q1008" s="17">
        <v>12918.499292283361</v>
      </c>
      <c r="R1008" s="17">
        <v>7924.1500000000005</v>
      </c>
      <c r="S1008" s="17">
        <v>4994.3492922833639</v>
      </c>
      <c r="T1008" s="17">
        <v>1990.44</v>
      </c>
    </row>
    <row r="1009" spans="1:20" x14ac:dyDescent="0.3">
      <c r="A1009" s="13">
        <v>45838</v>
      </c>
      <c r="B1009" s="7" t="s">
        <v>131</v>
      </c>
      <c r="C1009" s="7" t="s">
        <v>31</v>
      </c>
      <c r="D1009" s="7" t="s">
        <v>104</v>
      </c>
      <c r="E1009" s="7" t="s">
        <v>30</v>
      </c>
      <c r="F1009" s="14">
        <v>228</v>
      </c>
      <c r="G1009" s="15">
        <v>34.97</v>
      </c>
      <c r="H1009" s="16">
        <v>4.2642123963267477E-2</v>
      </c>
      <c r="I1009" s="16">
        <v>1.7395157243844519E-2</v>
      </c>
      <c r="J1009" s="15">
        <v>21.36</v>
      </c>
      <c r="K1009" s="14">
        <v>19</v>
      </c>
      <c r="L1009" s="14">
        <v>1</v>
      </c>
      <c r="M1009" s="15">
        <v>5.76</v>
      </c>
      <c r="N1009" s="17">
        <v>7973.16</v>
      </c>
      <c r="O1009" s="17">
        <v>339.99247709896582</v>
      </c>
      <c r="P1009" s="17">
        <v>132.7801493294707</v>
      </c>
      <c r="Q1009" s="17">
        <v>7500.3873735715633</v>
      </c>
      <c r="R1009" s="17">
        <v>4870.08</v>
      </c>
      <c r="S1009" s="17">
        <v>2630.3073735715629</v>
      </c>
      <c r="T1009" s="17">
        <v>5.76</v>
      </c>
    </row>
    <row r="1010" spans="1:20" x14ac:dyDescent="0.3">
      <c r="A1010" s="13">
        <v>45869</v>
      </c>
      <c r="B1010" s="7" t="s">
        <v>132</v>
      </c>
      <c r="C1010" s="7" t="s">
        <v>24</v>
      </c>
      <c r="D1010" s="7" t="s">
        <v>102</v>
      </c>
      <c r="E1010" s="7" t="s">
        <v>25</v>
      </c>
      <c r="F1010" s="14">
        <v>7991</v>
      </c>
      <c r="G1010" s="15">
        <v>134.26</v>
      </c>
      <c r="H1010" s="16">
        <v>7.0463163013690558E-2</v>
      </c>
      <c r="I1010" s="16">
        <v>4.4355463189923637E-2</v>
      </c>
      <c r="J1010" s="15">
        <v>74.400000000000006</v>
      </c>
      <c r="K1010" s="14">
        <v>5520</v>
      </c>
      <c r="L1010" s="14">
        <v>2429</v>
      </c>
      <c r="M1010" s="15">
        <v>18.2</v>
      </c>
      <c r="N1010" s="17">
        <v>1072871.6599999999</v>
      </c>
      <c r="O1010" s="17">
        <v>75597.930671348789</v>
      </c>
      <c r="P1010" s="17">
        <v>44234.538191514846</v>
      </c>
      <c r="Q1010" s="17">
        <v>953039.19113713619</v>
      </c>
      <c r="R1010" s="17">
        <v>594530.4</v>
      </c>
      <c r="S1010" s="17">
        <v>358508.79113713623</v>
      </c>
      <c r="T1010" s="17">
        <v>44207.8</v>
      </c>
    </row>
    <row r="1011" spans="1:20" x14ac:dyDescent="0.3">
      <c r="A1011" s="13">
        <v>45869</v>
      </c>
      <c r="B1011" s="7" t="s">
        <v>132</v>
      </c>
      <c r="C1011" s="7" t="s">
        <v>24</v>
      </c>
      <c r="D1011" s="7" t="s">
        <v>102</v>
      </c>
      <c r="E1011" s="7" t="s">
        <v>28</v>
      </c>
      <c r="F1011" s="14">
        <v>3510</v>
      </c>
      <c r="G1011" s="15">
        <v>119.12</v>
      </c>
      <c r="H1011" s="16">
        <v>6.3258707642544432E-2</v>
      </c>
      <c r="I1011" s="16">
        <v>5.9425142464539407E-2</v>
      </c>
      <c r="J1011" s="15">
        <v>75.849999999999994</v>
      </c>
      <c r="K1011" s="14">
        <v>2869</v>
      </c>
      <c r="L1011" s="14">
        <v>764</v>
      </c>
      <c r="M1011" s="15">
        <v>21.59</v>
      </c>
      <c r="N1011" s="17">
        <v>418111.2</v>
      </c>
      <c r="O1011" s="17">
        <v>26449.17416287342</v>
      </c>
      <c r="P1011" s="17">
        <v>23274.57168332137</v>
      </c>
      <c r="Q1011" s="17">
        <v>368387.45415380521</v>
      </c>
      <c r="R1011" s="17">
        <v>266233.5</v>
      </c>
      <c r="S1011" s="17">
        <v>102153.9541538052</v>
      </c>
      <c r="T1011" s="17">
        <v>16494.759999999998</v>
      </c>
    </row>
    <row r="1012" spans="1:20" x14ac:dyDescent="0.3">
      <c r="A1012" s="13">
        <v>45869</v>
      </c>
      <c r="B1012" s="7" t="s">
        <v>132</v>
      </c>
      <c r="C1012" s="7" t="s">
        <v>24</v>
      </c>
      <c r="D1012" s="7" t="s">
        <v>102</v>
      </c>
      <c r="E1012" s="7" t="s">
        <v>30</v>
      </c>
      <c r="F1012" s="14">
        <v>3419</v>
      </c>
      <c r="G1012" s="15">
        <v>102.31</v>
      </c>
      <c r="H1012" s="16">
        <v>3.2386104536473011E-2</v>
      </c>
      <c r="I1012" s="16">
        <v>1.5555701509821629E-2</v>
      </c>
      <c r="J1012" s="15">
        <v>73.67</v>
      </c>
      <c r="K1012" s="14">
        <v>274</v>
      </c>
      <c r="L1012" s="14">
        <v>15</v>
      </c>
      <c r="M1012" s="15">
        <v>4.09</v>
      </c>
      <c r="N1012" s="17">
        <v>349797.89</v>
      </c>
      <c r="O1012" s="17">
        <v>11328.59103217769</v>
      </c>
      <c r="P1012" s="17">
        <v>5265.1273849820218</v>
      </c>
      <c r="Q1012" s="17">
        <v>333204.17158284032</v>
      </c>
      <c r="R1012" s="17">
        <v>251877.73</v>
      </c>
      <c r="S1012" s="17">
        <v>81326.441582840314</v>
      </c>
      <c r="T1012" s="17">
        <v>61.349999999999987</v>
      </c>
    </row>
    <row r="1013" spans="1:20" x14ac:dyDescent="0.3">
      <c r="A1013" s="13">
        <v>45869</v>
      </c>
      <c r="B1013" s="7" t="s">
        <v>132</v>
      </c>
      <c r="C1013" s="7" t="s">
        <v>24</v>
      </c>
      <c r="D1013" s="7" t="s">
        <v>103</v>
      </c>
      <c r="E1013" s="7" t="s">
        <v>25</v>
      </c>
      <c r="F1013" s="14">
        <v>4216</v>
      </c>
      <c r="G1013" s="15">
        <v>246.07</v>
      </c>
      <c r="H1013" s="16">
        <v>4.9377914392196673E-2</v>
      </c>
      <c r="I1013" s="16">
        <v>4.4187045782923692E-2</v>
      </c>
      <c r="J1013" s="15">
        <v>126.85</v>
      </c>
      <c r="K1013" s="14">
        <v>2881</v>
      </c>
      <c r="L1013" s="14">
        <v>1095</v>
      </c>
      <c r="M1013" s="15">
        <v>30.08</v>
      </c>
      <c r="N1013" s="17">
        <v>1037431.12</v>
      </c>
      <c r="O1013" s="17">
        <v>51226.185031160698</v>
      </c>
      <c r="P1013" s="17">
        <v>43577.482612813379</v>
      </c>
      <c r="Q1013" s="17">
        <v>942627.45235602593</v>
      </c>
      <c r="R1013" s="17">
        <v>534799.6</v>
      </c>
      <c r="S1013" s="17">
        <v>407827.85235602589</v>
      </c>
      <c r="T1013" s="17">
        <v>32937.599999999999</v>
      </c>
    </row>
    <row r="1014" spans="1:20" x14ac:dyDescent="0.3">
      <c r="A1014" s="13">
        <v>45869</v>
      </c>
      <c r="B1014" s="7" t="s">
        <v>132</v>
      </c>
      <c r="C1014" s="7" t="s">
        <v>24</v>
      </c>
      <c r="D1014" s="7" t="s">
        <v>103</v>
      </c>
      <c r="E1014" s="7" t="s">
        <v>28</v>
      </c>
      <c r="F1014" s="14">
        <v>2115</v>
      </c>
      <c r="G1014" s="15">
        <v>223.87</v>
      </c>
      <c r="H1014" s="16">
        <v>9.3796357714884884E-2</v>
      </c>
      <c r="I1014" s="16">
        <v>5.5904898779661233E-2</v>
      </c>
      <c r="J1014" s="15">
        <v>129.13</v>
      </c>
      <c r="K1014" s="14">
        <v>1824</v>
      </c>
      <c r="L1014" s="14">
        <v>516</v>
      </c>
      <c r="M1014" s="15">
        <v>18.91</v>
      </c>
      <c r="N1014" s="17">
        <v>473485.05</v>
      </c>
      <c r="O1014" s="17">
        <v>44411.173122450156</v>
      </c>
      <c r="P1014" s="17">
        <v>23987.331655836249</v>
      </c>
      <c r="Q1014" s="17">
        <v>405086.54522171349</v>
      </c>
      <c r="R1014" s="17">
        <v>273109.95</v>
      </c>
      <c r="S1014" s="17">
        <v>131976.59522171351</v>
      </c>
      <c r="T1014" s="17">
        <v>9757.56</v>
      </c>
    </row>
    <row r="1015" spans="1:20" x14ac:dyDescent="0.3">
      <c r="A1015" s="13">
        <v>45869</v>
      </c>
      <c r="B1015" s="7" t="s">
        <v>132</v>
      </c>
      <c r="C1015" s="7" t="s">
        <v>24</v>
      </c>
      <c r="D1015" s="7" t="s">
        <v>103</v>
      </c>
      <c r="E1015" s="7" t="s">
        <v>30</v>
      </c>
      <c r="F1015" s="14">
        <v>2006</v>
      </c>
      <c r="G1015" s="15">
        <v>191.73</v>
      </c>
      <c r="H1015" s="16">
        <v>4.362464473263427E-2</v>
      </c>
      <c r="I1015" s="16">
        <v>1.191414054977228E-2</v>
      </c>
      <c r="J1015" s="15">
        <v>128.22</v>
      </c>
      <c r="K1015" s="14">
        <v>157</v>
      </c>
      <c r="L1015" s="14">
        <v>9</v>
      </c>
      <c r="M1015" s="15">
        <v>4.43</v>
      </c>
      <c r="N1015" s="17">
        <v>384610.38</v>
      </c>
      <c r="O1015" s="17">
        <v>16778.491187983469</v>
      </c>
      <c r="P1015" s="17">
        <v>4382.4008219945736</v>
      </c>
      <c r="Q1015" s="17">
        <v>363449.48799002188</v>
      </c>
      <c r="R1015" s="17">
        <v>257209.32</v>
      </c>
      <c r="S1015" s="17">
        <v>106240.1679900219</v>
      </c>
      <c r="T1015" s="17">
        <v>39.869999999999997</v>
      </c>
    </row>
    <row r="1016" spans="1:20" x14ac:dyDescent="0.3">
      <c r="A1016" s="13">
        <v>45869</v>
      </c>
      <c r="B1016" s="7" t="s">
        <v>132</v>
      </c>
      <c r="C1016" s="7" t="s">
        <v>24</v>
      </c>
      <c r="D1016" s="7" t="s">
        <v>104</v>
      </c>
      <c r="E1016" s="7" t="s">
        <v>25</v>
      </c>
      <c r="F1016" s="14">
        <v>2781</v>
      </c>
      <c r="G1016" s="15">
        <v>50.26</v>
      </c>
      <c r="H1016" s="16">
        <v>5.9773301848234678E-2</v>
      </c>
      <c r="I1016" s="16">
        <v>4.6276804178744753E-2</v>
      </c>
      <c r="J1016" s="15">
        <v>24.43</v>
      </c>
      <c r="K1016" s="14">
        <v>1807</v>
      </c>
      <c r="L1016" s="14">
        <v>667</v>
      </c>
      <c r="M1016" s="15">
        <v>33.520000000000003</v>
      </c>
      <c r="N1016" s="17">
        <v>139773.06</v>
      </c>
      <c r="O1016" s="17">
        <v>8354.6973056314182</v>
      </c>
      <c r="P1016" s="17">
        <v>6081.6218358985489</v>
      </c>
      <c r="Q1016" s="17">
        <v>125336.74085847</v>
      </c>
      <c r="R1016" s="17">
        <v>67939.83</v>
      </c>
      <c r="S1016" s="17">
        <v>57396.91085847003</v>
      </c>
      <c r="T1016" s="17">
        <v>22357.84</v>
      </c>
    </row>
    <row r="1017" spans="1:20" x14ac:dyDescent="0.3">
      <c r="A1017" s="13">
        <v>45869</v>
      </c>
      <c r="B1017" s="7" t="s">
        <v>132</v>
      </c>
      <c r="C1017" s="7" t="s">
        <v>24</v>
      </c>
      <c r="D1017" s="7" t="s">
        <v>104</v>
      </c>
      <c r="E1017" s="7" t="s">
        <v>28</v>
      </c>
      <c r="F1017" s="14">
        <v>1304</v>
      </c>
      <c r="G1017" s="15">
        <v>45.42</v>
      </c>
      <c r="H1017" s="16">
        <v>6.9481447205143695E-2</v>
      </c>
      <c r="I1017" s="16">
        <v>7.3893862366265883E-2</v>
      </c>
      <c r="J1017" s="15">
        <v>23</v>
      </c>
      <c r="K1017" s="14">
        <v>1107</v>
      </c>
      <c r="L1017" s="14">
        <v>321</v>
      </c>
      <c r="M1017" s="15">
        <v>18.59</v>
      </c>
      <c r="N1017" s="17">
        <v>59227.68</v>
      </c>
      <c r="O1017" s="17">
        <v>4115.224921003145</v>
      </c>
      <c r="P1017" s="17">
        <v>4072.472170274405</v>
      </c>
      <c r="Q1017" s="17">
        <v>51039.98290872245</v>
      </c>
      <c r="R1017" s="17">
        <v>29992</v>
      </c>
      <c r="S1017" s="17">
        <v>21047.98290872245</v>
      </c>
      <c r="T1017" s="17">
        <v>5967.39</v>
      </c>
    </row>
    <row r="1018" spans="1:20" x14ac:dyDescent="0.3">
      <c r="A1018" s="13">
        <v>45869</v>
      </c>
      <c r="B1018" s="7" t="s">
        <v>132</v>
      </c>
      <c r="C1018" s="7" t="s">
        <v>24</v>
      </c>
      <c r="D1018" s="7" t="s">
        <v>104</v>
      </c>
      <c r="E1018" s="7" t="s">
        <v>30</v>
      </c>
      <c r="F1018" s="14">
        <v>958</v>
      </c>
      <c r="G1018" s="15">
        <v>39.99</v>
      </c>
      <c r="H1018" s="16">
        <v>4.5266956187434752E-2</v>
      </c>
      <c r="I1018" s="16">
        <v>2.395379656116265E-2</v>
      </c>
      <c r="J1018" s="15">
        <v>23.25</v>
      </c>
      <c r="K1018" s="14">
        <v>81</v>
      </c>
      <c r="L1018" s="14">
        <v>5</v>
      </c>
      <c r="M1018" s="15">
        <v>3.41</v>
      </c>
      <c r="N1018" s="17">
        <v>38310.420000000013</v>
      </c>
      <c r="O1018" s="17">
        <v>1734.196103662224</v>
      </c>
      <c r="P1018" s="17">
        <v>876.13942618841099</v>
      </c>
      <c r="Q1018" s="17">
        <v>35700.08447014937</v>
      </c>
      <c r="R1018" s="17">
        <v>22273.5</v>
      </c>
      <c r="S1018" s="17">
        <v>13426.58447014937</v>
      </c>
      <c r="T1018" s="17">
        <v>17.05</v>
      </c>
    </row>
    <row r="1019" spans="1:20" x14ac:dyDescent="0.3">
      <c r="A1019" s="13">
        <v>45869</v>
      </c>
      <c r="B1019" s="7" t="s">
        <v>132</v>
      </c>
      <c r="C1019" s="7" t="s">
        <v>27</v>
      </c>
      <c r="D1019" s="7" t="s">
        <v>102</v>
      </c>
      <c r="E1019" s="7" t="s">
        <v>25</v>
      </c>
      <c r="F1019" s="14">
        <v>10469</v>
      </c>
      <c r="G1019" s="15">
        <v>138.29</v>
      </c>
      <c r="H1019" s="16">
        <v>5.8977670544682323E-2</v>
      </c>
      <c r="I1019" s="16">
        <v>3.4565795702234829E-2</v>
      </c>
      <c r="J1019" s="15">
        <v>79.91</v>
      </c>
      <c r="K1019" s="14">
        <v>7724</v>
      </c>
      <c r="L1019" s="14">
        <v>3062</v>
      </c>
      <c r="M1019" s="15">
        <v>33.51</v>
      </c>
      <c r="N1019" s="17">
        <v>1447758.01</v>
      </c>
      <c r="O1019" s="17">
        <v>85385.39494220489</v>
      </c>
      <c r="P1019" s="17">
        <v>47091.493482407161</v>
      </c>
      <c r="Q1019" s="17">
        <v>1315281.1215753879</v>
      </c>
      <c r="R1019" s="17">
        <v>836577.78999999992</v>
      </c>
      <c r="S1019" s="17">
        <v>478703.33157538797</v>
      </c>
      <c r="T1019" s="17">
        <v>102607.62</v>
      </c>
    </row>
    <row r="1020" spans="1:20" x14ac:dyDescent="0.3">
      <c r="A1020" s="13">
        <v>45869</v>
      </c>
      <c r="B1020" s="7" t="s">
        <v>132</v>
      </c>
      <c r="C1020" s="7" t="s">
        <v>27</v>
      </c>
      <c r="D1020" s="7" t="s">
        <v>102</v>
      </c>
      <c r="E1020" s="7" t="s">
        <v>28</v>
      </c>
      <c r="F1020" s="14">
        <v>2411</v>
      </c>
      <c r="G1020" s="15">
        <v>137.78</v>
      </c>
      <c r="H1020" s="16">
        <v>0.1106324761070643</v>
      </c>
      <c r="I1020" s="16">
        <v>7.1355480975809654E-2</v>
      </c>
      <c r="J1020" s="15">
        <v>76.41</v>
      </c>
      <c r="K1020" s="14">
        <v>1971</v>
      </c>
      <c r="L1020" s="14">
        <v>631</v>
      </c>
      <c r="M1020" s="15">
        <v>7.5</v>
      </c>
      <c r="N1020" s="17">
        <v>332187.58</v>
      </c>
      <c r="O1020" s="17">
        <v>36750.734507413508</v>
      </c>
      <c r="P1020" s="17">
        <v>21081.038208099471</v>
      </c>
      <c r="Q1020" s="17">
        <v>274355.807284487</v>
      </c>
      <c r="R1020" s="17">
        <v>184224.51</v>
      </c>
      <c r="S1020" s="17">
        <v>90131.297284487024</v>
      </c>
      <c r="T1020" s="17">
        <v>4732.5</v>
      </c>
    </row>
    <row r="1021" spans="1:20" x14ac:dyDescent="0.3">
      <c r="A1021" s="13">
        <v>45869</v>
      </c>
      <c r="B1021" s="7" t="s">
        <v>132</v>
      </c>
      <c r="C1021" s="7" t="s">
        <v>27</v>
      </c>
      <c r="D1021" s="7" t="s">
        <v>102</v>
      </c>
      <c r="E1021" s="7" t="s">
        <v>30</v>
      </c>
      <c r="F1021" s="14">
        <v>2343</v>
      </c>
      <c r="G1021" s="15">
        <v>115.73</v>
      </c>
      <c r="H1021" s="16">
        <v>3.2042427028305058E-2</v>
      </c>
      <c r="I1021" s="16">
        <v>2.2787042784255931E-2</v>
      </c>
      <c r="J1021" s="15">
        <v>78.45</v>
      </c>
      <c r="K1021" s="14">
        <v>195</v>
      </c>
      <c r="L1021" s="14">
        <v>12</v>
      </c>
      <c r="M1021" s="15">
        <v>5.61</v>
      </c>
      <c r="N1021" s="17">
        <v>271155.39</v>
      </c>
      <c r="O1021" s="17">
        <v>8688.4767974065999</v>
      </c>
      <c r="P1021" s="17">
        <v>5980.8447805990827</v>
      </c>
      <c r="Q1021" s="17">
        <v>256486.06842199431</v>
      </c>
      <c r="R1021" s="17">
        <v>183808.35</v>
      </c>
      <c r="S1021" s="17">
        <v>72677.718421994301</v>
      </c>
      <c r="T1021" s="17">
        <v>67.320000000000007</v>
      </c>
    </row>
    <row r="1022" spans="1:20" x14ac:dyDescent="0.3">
      <c r="A1022" s="13">
        <v>45869</v>
      </c>
      <c r="B1022" s="7" t="s">
        <v>132</v>
      </c>
      <c r="C1022" s="7" t="s">
        <v>27</v>
      </c>
      <c r="D1022" s="7" t="s">
        <v>103</v>
      </c>
      <c r="E1022" s="7" t="s">
        <v>25</v>
      </c>
      <c r="F1022" s="14">
        <v>3292</v>
      </c>
      <c r="G1022" s="15">
        <v>257.93</v>
      </c>
      <c r="H1022" s="16">
        <v>6.0820123805280388E-2</v>
      </c>
      <c r="I1022" s="16">
        <v>4.1076994491066193E-2</v>
      </c>
      <c r="J1022" s="15">
        <v>135.93</v>
      </c>
      <c r="K1022" s="14">
        <v>2325</v>
      </c>
      <c r="L1022" s="14">
        <v>862</v>
      </c>
      <c r="M1022" s="15">
        <v>35.71</v>
      </c>
      <c r="N1022" s="17">
        <v>849105.56</v>
      </c>
      <c r="O1022" s="17">
        <v>51642.705282951938</v>
      </c>
      <c r="P1022" s="17">
        <v>32757.377290042099</v>
      </c>
      <c r="Q1022" s="17">
        <v>764705.477427006</v>
      </c>
      <c r="R1022" s="17">
        <v>447481.56</v>
      </c>
      <c r="S1022" s="17">
        <v>317223.917427006</v>
      </c>
      <c r="T1022" s="17">
        <v>30782.02</v>
      </c>
    </row>
    <row r="1023" spans="1:20" x14ac:dyDescent="0.3">
      <c r="A1023" s="13">
        <v>45869</v>
      </c>
      <c r="B1023" s="7" t="s">
        <v>132</v>
      </c>
      <c r="C1023" s="7" t="s">
        <v>27</v>
      </c>
      <c r="D1023" s="7" t="s">
        <v>103</v>
      </c>
      <c r="E1023" s="7" t="s">
        <v>28</v>
      </c>
      <c r="F1023" s="14">
        <v>1834</v>
      </c>
      <c r="G1023" s="15">
        <v>219.59</v>
      </c>
      <c r="H1023" s="16">
        <v>0.1066972382927181</v>
      </c>
      <c r="I1023" s="16">
        <v>5.1894354915194181E-2</v>
      </c>
      <c r="J1023" s="15">
        <v>128.81</v>
      </c>
      <c r="K1023" s="14">
        <v>1663</v>
      </c>
      <c r="L1023" s="14">
        <v>501</v>
      </c>
      <c r="M1023" s="15">
        <v>16.71</v>
      </c>
      <c r="N1023" s="17">
        <v>402728.06</v>
      </c>
      <c r="O1023" s="17">
        <v>42969.971784984067</v>
      </c>
      <c r="P1023" s="17">
        <v>18669.413913441771</v>
      </c>
      <c r="Q1023" s="17">
        <v>341088.67430157418</v>
      </c>
      <c r="R1023" s="17">
        <v>236237.54</v>
      </c>
      <c r="S1023" s="17">
        <v>104851.1343015742</v>
      </c>
      <c r="T1023" s="17">
        <v>8371.7100000000009</v>
      </c>
    </row>
    <row r="1024" spans="1:20" x14ac:dyDescent="0.3">
      <c r="A1024" s="13">
        <v>45869</v>
      </c>
      <c r="B1024" s="7" t="s">
        <v>132</v>
      </c>
      <c r="C1024" s="7" t="s">
        <v>27</v>
      </c>
      <c r="D1024" s="7" t="s">
        <v>103</v>
      </c>
      <c r="E1024" s="7" t="s">
        <v>30</v>
      </c>
      <c r="F1024" s="14">
        <v>932</v>
      </c>
      <c r="G1024" s="15">
        <v>206.17</v>
      </c>
      <c r="H1024" s="16">
        <v>4.2058951325184502E-2</v>
      </c>
      <c r="I1024" s="16">
        <v>2.3114720152066542E-2</v>
      </c>
      <c r="J1024" s="15">
        <v>134.52000000000001</v>
      </c>
      <c r="K1024" s="14">
        <v>80</v>
      </c>
      <c r="L1024" s="14">
        <v>4</v>
      </c>
      <c r="M1024" s="15">
        <v>4.29</v>
      </c>
      <c r="N1024" s="17">
        <v>192150.44</v>
      </c>
      <c r="O1024" s="17">
        <v>8081.6460030727849</v>
      </c>
      <c r="P1024" s="17">
        <v>4254.698661967358</v>
      </c>
      <c r="Q1024" s="17">
        <v>179814.09533495989</v>
      </c>
      <c r="R1024" s="17">
        <v>125372.64</v>
      </c>
      <c r="S1024" s="17">
        <v>54441.455334959843</v>
      </c>
      <c r="T1024" s="17">
        <v>17.16</v>
      </c>
    </row>
    <row r="1025" spans="1:20" x14ac:dyDescent="0.3">
      <c r="A1025" s="13">
        <v>45869</v>
      </c>
      <c r="B1025" s="7" t="s">
        <v>132</v>
      </c>
      <c r="C1025" s="7" t="s">
        <v>27</v>
      </c>
      <c r="D1025" s="7" t="s">
        <v>104</v>
      </c>
      <c r="E1025" s="7" t="s">
        <v>25</v>
      </c>
      <c r="F1025" s="14">
        <v>1863</v>
      </c>
      <c r="G1025" s="15">
        <v>54.81</v>
      </c>
      <c r="H1025" s="16">
        <v>4.157306532806325E-2</v>
      </c>
      <c r="I1025" s="16">
        <v>3.7792712430416327E-2</v>
      </c>
      <c r="J1025" s="15">
        <v>23.23</v>
      </c>
      <c r="K1025" s="14">
        <v>1259</v>
      </c>
      <c r="L1025" s="14">
        <v>485</v>
      </c>
      <c r="M1025" s="15">
        <v>22.48</v>
      </c>
      <c r="N1025" s="17">
        <v>102111.03</v>
      </c>
      <c r="O1025" s="17">
        <v>4245.0685209058274</v>
      </c>
      <c r="P1025" s="17">
        <v>3698.6201389056082</v>
      </c>
      <c r="Q1025" s="17">
        <v>94167.341340188563</v>
      </c>
      <c r="R1025" s="17">
        <v>43277.49</v>
      </c>
      <c r="S1025" s="17">
        <v>50889.851340188558</v>
      </c>
      <c r="T1025" s="17">
        <v>10902.8</v>
      </c>
    </row>
    <row r="1026" spans="1:20" x14ac:dyDescent="0.3">
      <c r="A1026" s="13">
        <v>45869</v>
      </c>
      <c r="B1026" s="7" t="s">
        <v>132</v>
      </c>
      <c r="C1026" s="7" t="s">
        <v>27</v>
      </c>
      <c r="D1026" s="7" t="s">
        <v>104</v>
      </c>
      <c r="E1026" s="7" t="s">
        <v>28</v>
      </c>
      <c r="F1026" s="14">
        <v>1202</v>
      </c>
      <c r="G1026" s="15">
        <v>50.82</v>
      </c>
      <c r="H1026" s="16">
        <v>8.3523794893657161E-2</v>
      </c>
      <c r="I1026" s="16">
        <v>5.351043725499708E-2</v>
      </c>
      <c r="J1026" s="15">
        <v>25.78</v>
      </c>
      <c r="K1026" s="14">
        <v>1023</v>
      </c>
      <c r="L1026" s="14">
        <v>315</v>
      </c>
      <c r="M1026" s="15">
        <v>17.2</v>
      </c>
      <c r="N1026" s="17">
        <v>61085.64</v>
      </c>
      <c r="O1026" s="17">
        <v>5102.1044663077791</v>
      </c>
      <c r="P1026" s="17">
        <v>2995.7034654885369</v>
      </c>
      <c r="Q1026" s="17">
        <v>52987.832068203687</v>
      </c>
      <c r="R1026" s="17">
        <v>30987.56</v>
      </c>
      <c r="S1026" s="17">
        <v>22000.272068203689</v>
      </c>
      <c r="T1026" s="17">
        <v>5418</v>
      </c>
    </row>
    <row r="1027" spans="1:20" x14ac:dyDescent="0.3">
      <c r="A1027" s="13">
        <v>45869</v>
      </c>
      <c r="B1027" s="7" t="s">
        <v>132</v>
      </c>
      <c r="C1027" s="7" t="s">
        <v>27</v>
      </c>
      <c r="D1027" s="7" t="s">
        <v>104</v>
      </c>
      <c r="E1027" s="7" t="s">
        <v>30</v>
      </c>
      <c r="F1027" s="14">
        <v>922</v>
      </c>
      <c r="G1027" s="15">
        <v>41.12</v>
      </c>
      <c r="H1027" s="16">
        <v>3.6526094680360569E-2</v>
      </c>
      <c r="I1027" s="16">
        <v>2.528050625834994E-2</v>
      </c>
      <c r="J1027" s="15">
        <v>24.77</v>
      </c>
      <c r="K1027" s="14">
        <v>77</v>
      </c>
      <c r="L1027" s="14">
        <v>4</v>
      </c>
      <c r="M1027" s="15">
        <v>5.82</v>
      </c>
      <c r="N1027" s="17">
        <v>37912.639999999999</v>
      </c>
      <c r="O1027" s="17">
        <v>1384.8006782224249</v>
      </c>
      <c r="P1027" s="17">
        <v>923.4422705781991</v>
      </c>
      <c r="Q1027" s="17">
        <v>35604.397051199383</v>
      </c>
      <c r="R1027" s="17">
        <v>22837.94</v>
      </c>
      <c r="S1027" s="17">
        <v>12766.457051199381</v>
      </c>
      <c r="T1027" s="17">
        <v>23.28</v>
      </c>
    </row>
    <row r="1028" spans="1:20" x14ac:dyDescent="0.3">
      <c r="A1028" s="13">
        <v>45869</v>
      </c>
      <c r="B1028" s="7" t="s">
        <v>132</v>
      </c>
      <c r="C1028" s="7" t="s">
        <v>29</v>
      </c>
      <c r="D1028" s="7" t="s">
        <v>102</v>
      </c>
      <c r="E1028" s="7" t="s">
        <v>25</v>
      </c>
      <c r="F1028" s="14">
        <v>4018</v>
      </c>
      <c r="G1028" s="15">
        <v>124.63</v>
      </c>
      <c r="H1028" s="16">
        <v>5.990682939083037E-2</v>
      </c>
      <c r="I1028" s="16">
        <v>3.8261261796854143E-2</v>
      </c>
      <c r="J1028" s="15">
        <v>75.459999999999994</v>
      </c>
      <c r="K1028" s="14">
        <v>2950</v>
      </c>
      <c r="L1028" s="14">
        <v>1056</v>
      </c>
      <c r="M1028" s="15">
        <v>27.94</v>
      </c>
      <c r="N1028" s="17">
        <v>500763.34</v>
      </c>
      <c r="O1028" s="17">
        <v>29999.143974562379</v>
      </c>
      <c r="P1028" s="17">
        <v>18012.032148714821</v>
      </c>
      <c r="Q1028" s="17">
        <v>452752.16387672268</v>
      </c>
      <c r="R1028" s="17">
        <v>303198.28000000003</v>
      </c>
      <c r="S1028" s="17">
        <v>149553.8838767228</v>
      </c>
      <c r="T1028" s="17">
        <v>29504.639999999999</v>
      </c>
    </row>
    <row r="1029" spans="1:20" x14ac:dyDescent="0.3">
      <c r="A1029" s="13">
        <v>45869</v>
      </c>
      <c r="B1029" s="7" t="s">
        <v>132</v>
      </c>
      <c r="C1029" s="7" t="s">
        <v>29</v>
      </c>
      <c r="D1029" s="7" t="s">
        <v>102</v>
      </c>
      <c r="E1029" s="7" t="s">
        <v>28</v>
      </c>
      <c r="F1029" s="14">
        <v>1711</v>
      </c>
      <c r="G1029" s="15">
        <v>126.38</v>
      </c>
      <c r="H1029" s="16">
        <v>9.9132850931939659E-2</v>
      </c>
      <c r="I1029" s="16">
        <v>5.3859891371720633E-2</v>
      </c>
      <c r="J1029" s="15">
        <v>70.25</v>
      </c>
      <c r="K1029" s="14">
        <v>1427</v>
      </c>
      <c r="L1029" s="14">
        <v>418</v>
      </c>
      <c r="M1029" s="15">
        <v>11.91</v>
      </c>
      <c r="N1029" s="17">
        <v>216236.18</v>
      </c>
      <c r="O1029" s="17">
        <v>21436.108998032068</v>
      </c>
      <c r="P1029" s="17">
        <v>10491.910663369459</v>
      </c>
      <c r="Q1029" s="17">
        <v>184308.16033859839</v>
      </c>
      <c r="R1029" s="17">
        <v>120197.75</v>
      </c>
      <c r="S1029" s="17">
        <v>64110.410338598449</v>
      </c>
      <c r="T1029" s="17">
        <v>4978.38</v>
      </c>
    </row>
    <row r="1030" spans="1:20" x14ac:dyDescent="0.3">
      <c r="A1030" s="13">
        <v>45869</v>
      </c>
      <c r="B1030" s="7" t="s">
        <v>132</v>
      </c>
      <c r="C1030" s="7" t="s">
        <v>29</v>
      </c>
      <c r="D1030" s="7" t="s">
        <v>102</v>
      </c>
      <c r="E1030" s="7" t="s">
        <v>30</v>
      </c>
      <c r="F1030" s="14">
        <v>1451</v>
      </c>
      <c r="G1030" s="15">
        <v>104.51</v>
      </c>
      <c r="H1030" s="16">
        <v>4.1374568989878277E-2</v>
      </c>
      <c r="I1030" s="16">
        <v>1.838416167148758E-2</v>
      </c>
      <c r="J1030" s="15">
        <v>73.13</v>
      </c>
      <c r="K1030" s="14">
        <v>121</v>
      </c>
      <c r="L1030" s="14">
        <v>8</v>
      </c>
      <c r="M1030" s="15">
        <v>4.53</v>
      </c>
      <c r="N1030" s="17">
        <v>151644.01</v>
      </c>
      <c r="O1030" s="17">
        <v>6274.2055536467906</v>
      </c>
      <c r="P1030" s="17">
        <v>2672.501987094292</v>
      </c>
      <c r="Q1030" s="17">
        <v>142697.30245925891</v>
      </c>
      <c r="R1030" s="17">
        <v>106111.63</v>
      </c>
      <c r="S1030" s="17">
        <v>36585.672459258953</v>
      </c>
      <c r="T1030" s="17">
        <v>36.24</v>
      </c>
    </row>
    <row r="1031" spans="1:20" x14ac:dyDescent="0.3">
      <c r="A1031" s="13">
        <v>45869</v>
      </c>
      <c r="B1031" s="7" t="s">
        <v>132</v>
      </c>
      <c r="C1031" s="7" t="s">
        <v>29</v>
      </c>
      <c r="D1031" s="7" t="s">
        <v>103</v>
      </c>
      <c r="E1031" s="7" t="s">
        <v>25</v>
      </c>
      <c r="F1031" s="14">
        <v>2973</v>
      </c>
      <c r="G1031" s="15">
        <v>214.7</v>
      </c>
      <c r="H1031" s="16">
        <v>5.8241086381295118E-2</v>
      </c>
      <c r="I1031" s="16">
        <v>4.8364841379649408E-2</v>
      </c>
      <c r="J1031" s="15">
        <v>120.38</v>
      </c>
      <c r="K1031" s="14">
        <v>2035</v>
      </c>
      <c r="L1031" s="14">
        <v>769</v>
      </c>
      <c r="M1031" s="15">
        <v>27.68</v>
      </c>
      <c r="N1031" s="17">
        <v>638303.1</v>
      </c>
      <c r="O1031" s="17">
        <v>37175.465984548457</v>
      </c>
      <c r="P1031" s="17">
        <v>29073.442668081261</v>
      </c>
      <c r="Q1031" s="17">
        <v>572054.19134737027</v>
      </c>
      <c r="R1031" s="17">
        <v>357889.74</v>
      </c>
      <c r="S1031" s="17">
        <v>214164.45134737031</v>
      </c>
      <c r="T1031" s="17">
        <v>21285.919999999998</v>
      </c>
    </row>
    <row r="1032" spans="1:20" x14ac:dyDescent="0.3">
      <c r="A1032" s="13">
        <v>45869</v>
      </c>
      <c r="B1032" s="7" t="s">
        <v>132</v>
      </c>
      <c r="C1032" s="7" t="s">
        <v>29</v>
      </c>
      <c r="D1032" s="7" t="s">
        <v>103</v>
      </c>
      <c r="E1032" s="7" t="s">
        <v>28</v>
      </c>
      <c r="F1032" s="14">
        <v>1144</v>
      </c>
      <c r="G1032" s="15">
        <v>210.81</v>
      </c>
      <c r="H1032" s="16">
        <v>8.4754329023368769E-2</v>
      </c>
      <c r="I1032" s="16">
        <v>4.3141823923116093E-2</v>
      </c>
      <c r="J1032" s="15">
        <v>125.78</v>
      </c>
      <c r="K1032" s="14">
        <v>897</v>
      </c>
      <c r="L1032" s="14">
        <v>286</v>
      </c>
      <c r="M1032" s="15">
        <v>25.97</v>
      </c>
      <c r="N1032" s="17">
        <v>241166.64</v>
      </c>
      <c r="O1032" s="17">
        <v>20439.916756020331</v>
      </c>
      <c r="P1032" s="17">
        <v>9522.5534293181481</v>
      </c>
      <c r="Q1032" s="17">
        <v>211204.16981466149</v>
      </c>
      <c r="R1032" s="17">
        <v>143892.32</v>
      </c>
      <c r="S1032" s="17">
        <v>67311.849814661517</v>
      </c>
      <c r="T1032" s="17">
        <v>7427.42</v>
      </c>
    </row>
    <row r="1033" spans="1:20" x14ac:dyDescent="0.3">
      <c r="A1033" s="13">
        <v>45869</v>
      </c>
      <c r="B1033" s="7" t="s">
        <v>132</v>
      </c>
      <c r="C1033" s="7" t="s">
        <v>29</v>
      </c>
      <c r="D1033" s="7" t="s">
        <v>103</v>
      </c>
      <c r="E1033" s="7" t="s">
        <v>30</v>
      </c>
      <c r="F1033" s="14">
        <v>913</v>
      </c>
      <c r="G1033" s="15">
        <v>184.9</v>
      </c>
      <c r="H1033" s="16">
        <v>4.8246909888565358E-2</v>
      </c>
      <c r="I1033" s="16">
        <v>2.4033382010821811E-2</v>
      </c>
      <c r="J1033" s="15">
        <v>113.39</v>
      </c>
      <c r="K1033" s="14">
        <v>73</v>
      </c>
      <c r="L1033" s="14">
        <v>5</v>
      </c>
      <c r="M1033" s="15">
        <v>4.0999999999999996</v>
      </c>
      <c r="N1033" s="17">
        <v>168813.7</v>
      </c>
      <c r="O1033" s="17">
        <v>8144.7393718553067</v>
      </c>
      <c r="P1033" s="17">
        <v>3861.4185080578909</v>
      </c>
      <c r="Q1033" s="17">
        <v>156807.54212008679</v>
      </c>
      <c r="R1033" s="17">
        <v>103525.07</v>
      </c>
      <c r="S1033" s="17">
        <v>53282.472120086808</v>
      </c>
      <c r="T1033" s="17">
        <v>20.5</v>
      </c>
    </row>
    <row r="1034" spans="1:20" x14ac:dyDescent="0.3">
      <c r="A1034" s="13">
        <v>45869</v>
      </c>
      <c r="B1034" s="7" t="s">
        <v>132</v>
      </c>
      <c r="C1034" s="7" t="s">
        <v>29</v>
      </c>
      <c r="D1034" s="7" t="s">
        <v>104</v>
      </c>
      <c r="E1034" s="7" t="s">
        <v>25</v>
      </c>
      <c r="F1034" s="14">
        <v>2069</v>
      </c>
      <c r="G1034" s="15">
        <v>45.75</v>
      </c>
      <c r="H1034" s="16">
        <v>4.2843870419195573E-2</v>
      </c>
      <c r="I1034" s="16">
        <v>3.9116267124736037E-2</v>
      </c>
      <c r="J1034" s="15">
        <v>24.31</v>
      </c>
      <c r="K1034" s="14">
        <v>1436</v>
      </c>
      <c r="L1034" s="14">
        <v>512</v>
      </c>
      <c r="M1034" s="15">
        <v>36.64</v>
      </c>
      <c r="N1034" s="17">
        <v>94656.75</v>
      </c>
      <c r="O1034" s="17">
        <v>4055.46153130219</v>
      </c>
      <c r="P1034" s="17">
        <v>3543.9842015868512</v>
      </c>
      <c r="Q1034" s="17">
        <v>87057.304267110958</v>
      </c>
      <c r="R1034" s="17">
        <v>50297.39</v>
      </c>
      <c r="S1034" s="17">
        <v>36759.914267110958</v>
      </c>
      <c r="T1034" s="17">
        <v>18759.68</v>
      </c>
    </row>
    <row r="1035" spans="1:20" x14ac:dyDescent="0.3">
      <c r="A1035" s="13">
        <v>45869</v>
      </c>
      <c r="B1035" s="7" t="s">
        <v>132</v>
      </c>
      <c r="C1035" s="7" t="s">
        <v>29</v>
      </c>
      <c r="D1035" s="7" t="s">
        <v>104</v>
      </c>
      <c r="E1035" s="7" t="s">
        <v>28</v>
      </c>
      <c r="F1035" s="14">
        <v>1177</v>
      </c>
      <c r="G1035" s="15">
        <v>45.86</v>
      </c>
      <c r="H1035" s="16">
        <v>9.5093054001120045E-2</v>
      </c>
      <c r="I1035" s="16">
        <v>5.7191590177396792E-2</v>
      </c>
      <c r="J1035" s="15">
        <v>23.51</v>
      </c>
      <c r="K1035" s="14">
        <v>1015</v>
      </c>
      <c r="L1035" s="14">
        <v>323</v>
      </c>
      <c r="M1035" s="15">
        <v>22.71</v>
      </c>
      <c r="N1035" s="17">
        <v>53977.22</v>
      </c>
      <c r="O1035" s="17">
        <v>5132.8586962903373</v>
      </c>
      <c r="P1035" s="17">
        <v>2793.4866941584619</v>
      </c>
      <c r="Q1035" s="17">
        <v>46050.874609551203</v>
      </c>
      <c r="R1035" s="17">
        <v>27671.27</v>
      </c>
      <c r="S1035" s="17">
        <v>18379.604609551199</v>
      </c>
      <c r="T1035" s="17">
        <v>7335.33</v>
      </c>
    </row>
    <row r="1036" spans="1:20" x14ac:dyDescent="0.3">
      <c r="A1036" s="13">
        <v>45869</v>
      </c>
      <c r="B1036" s="7" t="s">
        <v>132</v>
      </c>
      <c r="C1036" s="7" t="s">
        <v>29</v>
      </c>
      <c r="D1036" s="7" t="s">
        <v>104</v>
      </c>
      <c r="E1036" s="7" t="s">
        <v>30</v>
      </c>
      <c r="F1036" s="14">
        <v>582</v>
      </c>
      <c r="G1036" s="15">
        <v>38.909999999999997</v>
      </c>
      <c r="H1036" s="16">
        <v>4.4788546291969371E-2</v>
      </c>
      <c r="I1036" s="16">
        <v>1.287916199906201E-2</v>
      </c>
      <c r="J1036" s="15">
        <v>24.11</v>
      </c>
      <c r="K1036" s="14">
        <v>47</v>
      </c>
      <c r="L1036" s="14">
        <v>3</v>
      </c>
      <c r="M1036" s="15">
        <v>4.42</v>
      </c>
      <c r="N1036" s="17">
        <v>22645.62</v>
      </c>
      <c r="O1036" s="17">
        <v>1014.264399680347</v>
      </c>
      <c r="P1036" s="17">
        <v>278.59373303583391</v>
      </c>
      <c r="Q1036" s="17">
        <v>21352.761867283811</v>
      </c>
      <c r="R1036" s="17">
        <v>14032.02</v>
      </c>
      <c r="S1036" s="17">
        <v>7320.7418672838139</v>
      </c>
      <c r="T1036" s="17">
        <v>13.26</v>
      </c>
    </row>
    <row r="1037" spans="1:20" x14ac:dyDescent="0.3">
      <c r="A1037" s="13">
        <v>45869</v>
      </c>
      <c r="B1037" s="7" t="s">
        <v>132</v>
      </c>
      <c r="C1037" s="7" t="s">
        <v>31</v>
      </c>
      <c r="D1037" s="7" t="s">
        <v>102</v>
      </c>
      <c r="E1037" s="7" t="s">
        <v>25</v>
      </c>
      <c r="F1037" s="14">
        <v>2080</v>
      </c>
      <c r="G1037" s="15">
        <v>115.53</v>
      </c>
      <c r="H1037" s="16">
        <v>5.2341224273865908E-2</v>
      </c>
      <c r="I1037" s="16">
        <v>4.8639235499624463E-2</v>
      </c>
      <c r="J1037" s="15">
        <v>71.95</v>
      </c>
      <c r="K1037" s="14">
        <v>1383</v>
      </c>
      <c r="L1037" s="14">
        <v>611</v>
      </c>
      <c r="M1037" s="15">
        <v>30.92</v>
      </c>
      <c r="N1037" s="17">
        <v>240302.4</v>
      </c>
      <c r="O1037" s="17">
        <v>12577.72181194824</v>
      </c>
      <c r="P1037" s="17">
        <v>11076.35425146484</v>
      </c>
      <c r="Q1037" s="17">
        <v>216648.32393658691</v>
      </c>
      <c r="R1037" s="17">
        <v>149656</v>
      </c>
      <c r="S1037" s="17">
        <v>66992.323936586909</v>
      </c>
      <c r="T1037" s="17">
        <v>18892.12</v>
      </c>
    </row>
    <row r="1038" spans="1:20" x14ac:dyDescent="0.3">
      <c r="A1038" s="13">
        <v>45869</v>
      </c>
      <c r="B1038" s="7" t="s">
        <v>132</v>
      </c>
      <c r="C1038" s="7" t="s">
        <v>31</v>
      </c>
      <c r="D1038" s="7" t="s">
        <v>102</v>
      </c>
      <c r="E1038" s="7" t="s">
        <v>28</v>
      </c>
      <c r="F1038" s="14">
        <v>1154</v>
      </c>
      <c r="G1038" s="15">
        <v>102.52</v>
      </c>
      <c r="H1038" s="16">
        <v>7.2126660363035902E-2</v>
      </c>
      <c r="I1038" s="16">
        <v>8.7114462085060282E-2</v>
      </c>
      <c r="J1038" s="15">
        <v>73.790000000000006</v>
      </c>
      <c r="K1038" s="14">
        <v>930</v>
      </c>
      <c r="L1038" s="14">
        <v>271</v>
      </c>
      <c r="M1038" s="15">
        <v>18.21</v>
      </c>
      <c r="N1038" s="17">
        <v>118308.08</v>
      </c>
      <c r="O1038" s="17">
        <v>8533.1667043628804</v>
      </c>
      <c r="P1038" s="17">
        <v>9562.9825221835599</v>
      </c>
      <c r="Q1038" s="17">
        <v>100211.9307734536</v>
      </c>
      <c r="R1038" s="17">
        <v>85153.66</v>
      </c>
      <c r="S1038" s="17">
        <v>15058.270773453551</v>
      </c>
      <c r="T1038" s="17">
        <v>4934.91</v>
      </c>
    </row>
    <row r="1039" spans="1:20" x14ac:dyDescent="0.3">
      <c r="A1039" s="13">
        <v>45869</v>
      </c>
      <c r="B1039" s="7" t="s">
        <v>132</v>
      </c>
      <c r="C1039" s="7" t="s">
        <v>31</v>
      </c>
      <c r="D1039" s="7" t="s">
        <v>102</v>
      </c>
      <c r="E1039" s="7" t="s">
        <v>30</v>
      </c>
      <c r="F1039" s="14">
        <v>1070</v>
      </c>
      <c r="G1039" s="15">
        <v>94.3</v>
      </c>
      <c r="H1039" s="16">
        <v>3.9250470428058612E-2</v>
      </c>
      <c r="I1039" s="16">
        <v>1.89240183821991E-2</v>
      </c>
      <c r="J1039" s="15">
        <v>72.739999999999995</v>
      </c>
      <c r="K1039" s="14">
        <v>89</v>
      </c>
      <c r="L1039" s="14">
        <v>5</v>
      </c>
      <c r="M1039" s="15">
        <v>5.14</v>
      </c>
      <c r="N1039" s="17">
        <v>100901</v>
      </c>
      <c r="O1039" s="17">
        <v>3960.411716661542</v>
      </c>
      <c r="P1039" s="17">
        <v>1834.5054746550909</v>
      </c>
      <c r="Q1039" s="17">
        <v>95106.082808683364</v>
      </c>
      <c r="R1039" s="17">
        <v>77831.799999999988</v>
      </c>
      <c r="S1039" s="17">
        <v>17274.28280868338</v>
      </c>
      <c r="T1039" s="17">
        <v>25.7</v>
      </c>
    </row>
    <row r="1040" spans="1:20" x14ac:dyDescent="0.3">
      <c r="A1040" s="13">
        <v>45869</v>
      </c>
      <c r="B1040" s="7" t="s">
        <v>132</v>
      </c>
      <c r="C1040" s="7" t="s">
        <v>31</v>
      </c>
      <c r="D1040" s="7" t="s">
        <v>103</v>
      </c>
      <c r="E1040" s="7" t="s">
        <v>25</v>
      </c>
      <c r="F1040" s="14">
        <v>1127</v>
      </c>
      <c r="G1040" s="15">
        <v>205.43</v>
      </c>
      <c r="H1040" s="16">
        <v>4.7824206999323653E-2</v>
      </c>
      <c r="I1040" s="16">
        <v>4.1487806348073052E-2</v>
      </c>
      <c r="J1040" s="15">
        <v>119.94</v>
      </c>
      <c r="K1040" s="14">
        <v>809</v>
      </c>
      <c r="L1040" s="14">
        <v>315</v>
      </c>
      <c r="M1040" s="15">
        <v>32.5</v>
      </c>
      <c r="N1040" s="17">
        <v>231519.61</v>
      </c>
      <c r="O1040" s="17">
        <v>11072.241753042679</v>
      </c>
      <c r="P1040" s="17">
        <v>9145.8777237721151</v>
      </c>
      <c r="Q1040" s="17">
        <v>211301.4905231852</v>
      </c>
      <c r="R1040" s="17">
        <v>135172.38</v>
      </c>
      <c r="S1040" s="17">
        <v>76129.110523185227</v>
      </c>
      <c r="T1040" s="17">
        <v>10237.5</v>
      </c>
    </row>
    <row r="1041" spans="1:20" x14ac:dyDescent="0.3">
      <c r="A1041" s="13">
        <v>45869</v>
      </c>
      <c r="B1041" s="7" t="s">
        <v>132</v>
      </c>
      <c r="C1041" s="7" t="s">
        <v>31</v>
      </c>
      <c r="D1041" s="7" t="s">
        <v>103</v>
      </c>
      <c r="E1041" s="7" t="s">
        <v>28</v>
      </c>
      <c r="F1041" s="14">
        <v>449</v>
      </c>
      <c r="G1041" s="15">
        <v>188.06</v>
      </c>
      <c r="H1041" s="16">
        <v>9.4487087252514729E-2</v>
      </c>
      <c r="I1041" s="16">
        <v>5.4353661681177071E-2</v>
      </c>
      <c r="J1041" s="15">
        <v>121.7</v>
      </c>
      <c r="K1041" s="14">
        <v>413</v>
      </c>
      <c r="L1041" s="14">
        <v>114</v>
      </c>
      <c r="M1041" s="15">
        <v>19.89</v>
      </c>
      <c r="N1041" s="17">
        <v>84438.94</v>
      </c>
      <c r="O1041" s="17">
        <v>7978.3894912898559</v>
      </c>
      <c r="P1041" s="17">
        <v>4155.9108943069832</v>
      </c>
      <c r="Q1041" s="17">
        <v>72304.639614403161</v>
      </c>
      <c r="R1041" s="17">
        <v>54643.3</v>
      </c>
      <c r="S1041" s="17">
        <v>17661.339614403161</v>
      </c>
      <c r="T1041" s="17">
        <v>2267.46</v>
      </c>
    </row>
    <row r="1042" spans="1:20" x14ac:dyDescent="0.3">
      <c r="A1042" s="13">
        <v>45869</v>
      </c>
      <c r="B1042" s="7" t="s">
        <v>132</v>
      </c>
      <c r="C1042" s="7" t="s">
        <v>31</v>
      </c>
      <c r="D1042" s="7" t="s">
        <v>103</v>
      </c>
      <c r="E1042" s="7" t="s">
        <v>30</v>
      </c>
      <c r="F1042" s="14">
        <v>454</v>
      </c>
      <c r="G1042" s="15">
        <v>174.49</v>
      </c>
      <c r="H1042" s="16">
        <v>4.462278157412336E-2</v>
      </c>
      <c r="I1042" s="16">
        <v>3.0967247751441929E-2</v>
      </c>
      <c r="J1042" s="15">
        <v>124.02</v>
      </c>
      <c r="K1042" s="14">
        <v>36</v>
      </c>
      <c r="L1042" s="14">
        <v>2</v>
      </c>
      <c r="M1042" s="15">
        <v>4.95</v>
      </c>
      <c r="N1042" s="17">
        <v>79218.460000000006</v>
      </c>
      <c r="O1042" s="17">
        <v>3534.9480372184289</v>
      </c>
      <c r="P1042" s="17">
        <v>2343.7100656506759</v>
      </c>
      <c r="Q1042" s="17">
        <v>73339.801897130892</v>
      </c>
      <c r="R1042" s="17">
        <v>56305.08</v>
      </c>
      <c r="S1042" s="17">
        <v>17034.72189713089</v>
      </c>
      <c r="T1042" s="17">
        <v>9.9</v>
      </c>
    </row>
    <row r="1043" spans="1:20" x14ac:dyDescent="0.3">
      <c r="A1043" s="13">
        <v>45869</v>
      </c>
      <c r="B1043" s="7" t="s">
        <v>132</v>
      </c>
      <c r="C1043" s="7" t="s">
        <v>31</v>
      </c>
      <c r="D1043" s="7" t="s">
        <v>104</v>
      </c>
      <c r="E1043" s="7" t="s">
        <v>25</v>
      </c>
      <c r="F1043" s="14">
        <v>676</v>
      </c>
      <c r="G1043" s="15">
        <v>43.77</v>
      </c>
      <c r="H1043" s="16">
        <v>6.2312977010272469E-2</v>
      </c>
      <c r="I1043" s="16">
        <v>2.676350429157821E-2</v>
      </c>
      <c r="J1043" s="15">
        <v>21.81</v>
      </c>
      <c r="K1043" s="14">
        <v>456</v>
      </c>
      <c r="L1043" s="14">
        <v>167</v>
      </c>
      <c r="M1043" s="15">
        <v>37.049999999999997</v>
      </c>
      <c r="N1043" s="17">
        <v>29588.52</v>
      </c>
      <c r="O1043" s="17">
        <v>1843.7487665279871</v>
      </c>
      <c r="P1043" s="17">
        <v>742.54730397588389</v>
      </c>
      <c r="Q1043" s="17">
        <v>27002.223929496129</v>
      </c>
      <c r="R1043" s="17">
        <v>14743.56</v>
      </c>
      <c r="S1043" s="17">
        <v>12258.66392949613</v>
      </c>
      <c r="T1043" s="17">
        <v>6187.3499999999995</v>
      </c>
    </row>
    <row r="1044" spans="1:20" x14ac:dyDescent="0.3">
      <c r="A1044" s="13">
        <v>45869</v>
      </c>
      <c r="B1044" s="7" t="s">
        <v>132</v>
      </c>
      <c r="C1044" s="7" t="s">
        <v>31</v>
      </c>
      <c r="D1044" s="7" t="s">
        <v>104</v>
      </c>
      <c r="E1044" s="7" t="s">
        <v>28</v>
      </c>
      <c r="F1044" s="14">
        <v>384</v>
      </c>
      <c r="G1044" s="15">
        <v>42.13</v>
      </c>
      <c r="H1044" s="16">
        <v>9.3186581361628981E-2</v>
      </c>
      <c r="I1044" s="16">
        <v>5.4209658031939528E-2</v>
      </c>
      <c r="J1044" s="15">
        <v>21.5</v>
      </c>
      <c r="K1044" s="14">
        <v>327</v>
      </c>
      <c r="L1044" s="14">
        <v>100</v>
      </c>
      <c r="M1044" s="15">
        <v>18.809999999999999</v>
      </c>
      <c r="N1044" s="17">
        <v>16177.92</v>
      </c>
      <c r="O1044" s="17">
        <v>1507.5650583419249</v>
      </c>
      <c r="P1044" s="17">
        <v>795.27492459445853</v>
      </c>
      <c r="Q1044" s="17">
        <v>13875.080017063619</v>
      </c>
      <c r="R1044" s="17">
        <v>8256</v>
      </c>
      <c r="S1044" s="17">
        <v>5619.0800170636194</v>
      </c>
      <c r="T1044" s="17">
        <v>1881</v>
      </c>
    </row>
    <row r="1045" spans="1:20" x14ac:dyDescent="0.3">
      <c r="A1045" s="13">
        <v>45869</v>
      </c>
      <c r="B1045" s="7" t="s">
        <v>132</v>
      </c>
      <c r="C1045" s="7" t="s">
        <v>31</v>
      </c>
      <c r="D1045" s="7" t="s">
        <v>104</v>
      </c>
      <c r="E1045" s="7" t="s">
        <v>30</v>
      </c>
      <c r="F1045" s="14">
        <v>186</v>
      </c>
      <c r="G1045" s="15">
        <v>34.11</v>
      </c>
      <c r="H1045" s="16">
        <v>3.443040496806403E-2</v>
      </c>
      <c r="I1045" s="16">
        <v>2.4048287650741209E-2</v>
      </c>
      <c r="J1045" s="15">
        <v>22.26</v>
      </c>
      <c r="K1045" s="14">
        <v>15</v>
      </c>
      <c r="L1045" s="14">
        <v>1</v>
      </c>
      <c r="M1045" s="15">
        <v>5.09</v>
      </c>
      <c r="N1045" s="17">
        <v>6344.46</v>
      </c>
      <c r="O1045" s="17">
        <v>218.44232710368351</v>
      </c>
      <c r="P1045" s="17">
        <v>147.32023515133491</v>
      </c>
      <c r="Q1045" s="17">
        <v>5978.6974377449806</v>
      </c>
      <c r="R1045" s="17">
        <v>4140.3600000000006</v>
      </c>
      <c r="S1045" s="17">
        <v>1838.3374377449809</v>
      </c>
      <c r="T1045" s="17">
        <v>5.09</v>
      </c>
    </row>
    <row r="1046" spans="1:20" x14ac:dyDescent="0.3">
      <c r="A1046" s="13">
        <v>45900</v>
      </c>
      <c r="B1046" s="7" t="s">
        <v>133</v>
      </c>
      <c r="C1046" s="7" t="s">
        <v>24</v>
      </c>
      <c r="D1046" s="7" t="s">
        <v>102</v>
      </c>
      <c r="E1046" s="7" t="s">
        <v>25</v>
      </c>
      <c r="F1046" s="14">
        <v>8980</v>
      </c>
      <c r="G1046" s="15">
        <v>126.12</v>
      </c>
      <c r="H1046" s="16">
        <v>7.4671169683869693E-2</v>
      </c>
      <c r="I1046" s="16">
        <v>4.3703402673288462E-2</v>
      </c>
      <c r="J1046" s="15">
        <v>72.86</v>
      </c>
      <c r="K1046" s="14">
        <v>6501</v>
      </c>
      <c r="L1046" s="14">
        <v>2489</v>
      </c>
      <c r="M1046" s="15">
        <v>24.78</v>
      </c>
      <c r="N1046" s="17">
        <v>1132557.6000000001</v>
      </c>
      <c r="O1046" s="17">
        <v>84569.400726356223</v>
      </c>
      <c r="P1046" s="17">
        <v>45800.650269710532</v>
      </c>
      <c r="Q1046" s="17">
        <v>1002187.549003933</v>
      </c>
      <c r="R1046" s="17">
        <v>654282.80000000005</v>
      </c>
      <c r="S1046" s="17">
        <v>347904.74900393328</v>
      </c>
      <c r="T1046" s="17">
        <v>61677.420000000013</v>
      </c>
    </row>
    <row r="1047" spans="1:20" x14ac:dyDescent="0.3">
      <c r="A1047" s="13">
        <v>45900</v>
      </c>
      <c r="B1047" s="7" t="s">
        <v>133</v>
      </c>
      <c r="C1047" s="7" t="s">
        <v>24</v>
      </c>
      <c r="D1047" s="7" t="s">
        <v>102</v>
      </c>
      <c r="E1047" s="7" t="s">
        <v>28</v>
      </c>
      <c r="F1047" s="14">
        <v>4311</v>
      </c>
      <c r="G1047" s="15">
        <v>121.97</v>
      </c>
      <c r="H1047" s="16">
        <v>7.8695359339286688E-2</v>
      </c>
      <c r="I1047" s="16">
        <v>7.3436943273538932E-2</v>
      </c>
      <c r="J1047" s="15">
        <v>76.23</v>
      </c>
      <c r="K1047" s="14">
        <v>3576</v>
      </c>
      <c r="L1047" s="14">
        <v>1174</v>
      </c>
      <c r="M1047" s="15">
        <v>18.55</v>
      </c>
      <c r="N1047" s="17">
        <v>525812.67000000004</v>
      </c>
      <c r="O1047" s="17">
        <v>41379.017010799776</v>
      </c>
      <c r="P1047" s="17">
        <v>35575.326694361152</v>
      </c>
      <c r="Q1047" s="17">
        <v>448858.32629483909</v>
      </c>
      <c r="R1047" s="17">
        <v>328627.53000000003</v>
      </c>
      <c r="S1047" s="17">
        <v>120230.79629483911</v>
      </c>
      <c r="T1047" s="17">
        <v>21777.7</v>
      </c>
    </row>
    <row r="1048" spans="1:20" x14ac:dyDescent="0.3">
      <c r="A1048" s="13">
        <v>45900</v>
      </c>
      <c r="B1048" s="7" t="s">
        <v>133</v>
      </c>
      <c r="C1048" s="7" t="s">
        <v>24</v>
      </c>
      <c r="D1048" s="7" t="s">
        <v>102</v>
      </c>
      <c r="E1048" s="7" t="s">
        <v>30</v>
      </c>
      <c r="F1048" s="14">
        <v>3627</v>
      </c>
      <c r="G1048" s="15">
        <v>110.46</v>
      </c>
      <c r="H1048" s="16">
        <v>4.3751910004129022E-2</v>
      </c>
      <c r="I1048" s="16">
        <v>1.915362780833688E-2</v>
      </c>
      <c r="J1048" s="15">
        <v>77.19</v>
      </c>
      <c r="K1048" s="14">
        <v>302</v>
      </c>
      <c r="L1048" s="14">
        <v>18</v>
      </c>
      <c r="M1048" s="15">
        <v>2.87</v>
      </c>
      <c r="N1048" s="17">
        <v>400638.42</v>
      </c>
      <c r="O1048" s="17">
        <v>17528.696096036441</v>
      </c>
      <c r="P1048" s="17">
        <v>7337.9410614112176</v>
      </c>
      <c r="Q1048" s="17">
        <v>375771.78284255229</v>
      </c>
      <c r="R1048" s="17">
        <v>279968.13</v>
      </c>
      <c r="S1048" s="17">
        <v>95803.652842552285</v>
      </c>
      <c r="T1048" s="17">
        <v>51.66</v>
      </c>
    </row>
    <row r="1049" spans="1:20" x14ac:dyDescent="0.3">
      <c r="A1049" s="13">
        <v>45900</v>
      </c>
      <c r="B1049" s="7" t="s">
        <v>133</v>
      </c>
      <c r="C1049" s="7" t="s">
        <v>24</v>
      </c>
      <c r="D1049" s="7" t="s">
        <v>103</v>
      </c>
      <c r="E1049" s="7" t="s">
        <v>25</v>
      </c>
      <c r="F1049" s="14">
        <v>5808</v>
      </c>
      <c r="G1049" s="15">
        <v>239.72</v>
      </c>
      <c r="H1049" s="16">
        <v>5.8681673963446548E-2</v>
      </c>
      <c r="I1049" s="16">
        <v>5.0064110400265538E-2</v>
      </c>
      <c r="J1049" s="15">
        <v>123.12</v>
      </c>
      <c r="K1049" s="14">
        <v>3732</v>
      </c>
      <c r="L1049" s="14">
        <v>1365</v>
      </c>
      <c r="M1049" s="15">
        <v>33.5</v>
      </c>
      <c r="N1049" s="17">
        <v>1392293.76</v>
      </c>
      <c r="O1049" s="17">
        <v>81702.128485661102</v>
      </c>
      <c r="P1049" s="17">
        <v>65613.604129798012</v>
      </c>
      <c r="Q1049" s="17">
        <v>1244978.027384541</v>
      </c>
      <c r="R1049" s="17">
        <v>715080.96000000008</v>
      </c>
      <c r="S1049" s="17">
        <v>529897.06738454092</v>
      </c>
      <c r="T1049" s="17">
        <v>45727.5</v>
      </c>
    </row>
    <row r="1050" spans="1:20" x14ac:dyDescent="0.3">
      <c r="A1050" s="13">
        <v>45900</v>
      </c>
      <c r="B1050" s="7" t="s">
        <v>133</v>
      </c>
      <c r="C1050" s="7" t="s">
        <v>24</v>
      </c>
      <c r="D1050" s="7" t="s">
        <v>103</v>
      </c>
      <c r="E1050" s="7" t="s">
        <v>28</v>
      </c>
      <c r="F1050" s="14">
        <v>1644</v>
      </c>
      <c r="G1050" s="15">
        <v>226.09</v>
      </c>
      <c r="H1050" s="16">
        <v>8.2576014761731334E-2</v>
      </c>
      <c r="I1050" s="16">
        <v>5.2349040748558763E-2</v>
      </c>
      <c r="J1050" s="15">
        <v>128.25</v>
      </c>
      <c r="K1050" s="14">
        <v>1386</v>
      </c>
      <c r="L1050" s="14">
        <v>414</v>
      </c>
      <c r="M1050" s="15">
        <v>21.06</v>
      </c>
      <c r="N1050" s="17">
        <v>371691.96</v>
      </c>
      <c r="O1050" s="17">
        <v>30692.840775776851</v>
      </c>
      <c r="P1050" s="17">
        <v>17850.976787491509</v>
      </c>
      <c r="Q1050" s="17">
        <v>323148.14243673172</v>
      </c>
      <c r="R1050" s="17">
        <v>210843</v>
      </c>
      <c r="S1050" s="17">
        <v>112305.14243673169</v>
      </c>
      <c r="T1050" s="17">
        <v>8718.84</v>
      </c>
    </row>
    <row r="1051" spans="1:20" x14ac:dyDescent="0.3">
      <c r="A1051" s="13">
        <v>45900</v>
      </c>
      <c r="B1051" s="7" t="s">
        <v>133</v>
      </c>
      <c r="C1051" s="7" t="s">
        <v>24</v>
      </c>
      <c r="D1051" s="7" t="s">
        <v>103</v>
      </c>
      <c r="E1051" s="7" t="s">
        <v>30</v>
      </c>
      <c r="F1051" s="14">
        <v>1311</v>
      </c>
      <c r="G1051" s="15">
        <v>196.61</v>
      </c>
      <c r="H1051" s="16">
        <v>4.4982988803915713E-2</v>
      </c>
      <c r="I1051" s="16">
        <v>1.547101393314426E-2</v>
      </c>
      <c r="J1051" s="15">
        <v>120.37</v>
      </c>
      <c r="K1051" s="14">
        <v>105</v>
      </c>
      <c r="L1051" s="14">
        <v>7</v>
      </c>
      <c r="M1051" s="15">
        <v>4.5199999999999996</v>
      </c>
      <c r="N1051" s="17">
        <v>257755.71</v>
      </c>
      <c r="O1051" s="17">
        <v>11594.62221707535</v>
      </c>
      <c r="P1051" s="17">
        <v>3808.3616188875749</v>
      </c>
      <c r="Q1051" s="17">
        <v>242352.7261640371</v>
      </c>
      <c r="R1051" s="17">
        <v>157805.07</v>
      </c>
      <c r="S1051" s="17">
        <v>84547.656164037093</v>
      </c>
      <c r="T1051" s="17">
        <v>31.64</v>
      </c>
    </row>
    <row r="1052" spans="1:20" x14ac:dyDescent="0.3">
      <c r="A1052" s="13">
        <v>45900</v>
      </c>
      <c r="B1052" s="7" t="s">
        <v>133</v>
      </c>
      <c r="C1052" s="7" t="s">
        <v>24</v>
      </c>
      <c r="D1052" s="7" t="s">
        <v>104</v>
      </c>
      <c r="E1052" s="7" t="s">
        <v>25</v>
      </c>
      <c r="F1052" s="14">
        <v>2798</v>
      </c>
      <c r="G1052" s="15">
        <v>49.99</v>
      </c>
      <c r="H1052" s="16">
        <v>5.7406647638197347E-2</v>
      </c>
      <c r="I1052" s="16">
        <v>4.1504744987739012E-2</v>
      </c>
      <c r="J1052" s="15">
        <v>23.42</v>
      </c>
      <c r="K1052" s="14">
        <v>1924</v>
      </c>
      <c r="L1052" s="14">
        <v>703</v>
      </c>
      <c r="M1052" s="15">
        <v>33.119999999999997</v>
      </c>
      <c r="N1052" s="17">
        <v>139872.01999999999</v>
      </c>
      <c r="O1052" s="17">
        <v>8029.583766582894</v>
      </c>
      <c r="P1052" s="17">
        <v>5472.0866944302197</v>
      </c>
      <c r="Q1052" s="17">
        <v>126370.34953898691</v>
      </c>
      <c r="R1052" s="17">
        <v>65529.16</v>
      </c>
      <c r="S1052" s="17">
        <v>60841.189538986902</v>
      </c>
      <c r="T1052" s="17">
        <v>23283.360000000001</v>
      </c>
    </row>
    <row r="1053" spans="1:20" x14ac:dyDescent="0.3">
      <c r="A1053" s="13">
        <v>45900</v>
      </c>
      <c r="B1053" s="7" t="s">
        <v>133</v>
      </c>
      <c r="C1053" s="7" t="s">
        <v>24</v>
      </c>
      <c r="D1053" s="7" t="s">
        <v>104</v>
      </c>
      <c r="E1053" s="7" t="s">
        <v>28</v>
      </c>
      <c r="F1053" s="14">
        <v>1453</v>
      </c>
      <c r="G1053" s="15">
        <v>47.75</v>
      </c>
      <c r="H1053" s="16">
        <v>8.6806745324524773E-2</v>
      </c>
      <c r="I1053" s="16">
        <v>4.0326762931519773E-2</v>
      </c>
      <c r="J1053" s="15">
        <v>23.44</v>
      </c>
      <c r="K1053" s="14">
        <v>1236</v>
      </c>
      <c r="L1053" s="14">
        <v>353</v>
      </c>
      <c r="M1053" s="15">
        <v>15.24</v>
      </c>
      <c r="N1053" s="17">
        <v>69380.75</v>
      </c>
      <c r="O1053" s="17">
        <v>6022.7170956745222</v>
      </c>
      <c r="P1053" s="17">
        <v>2555.024372740163</v>
      </c>
      <c r="Q1053" s="17">
        <v>60803.008531585307</v>
      </c>
      <c r="R1053" s="17">
        <v>34058.32</v>
      </c>
      <c r="S1053" s="17">
        <v>26744.688531585311</v>
      </c>
      <c r="T1053" s="17">
        <v>5379.72</v>
      </c>
    </row>
    <row r="1054" spans="1:20" x14ac:dyDescent="0.3">
      <c r="A1054" s="13">
        <v>45900</v>
      </c>
      <c r="B1054" s="7" t="s">
        <v>133</v>
      </c>
      <c r="C1054" s="7" t="s">
        <v>24</v>
      </c>
      <c r="D1054" s="7" t="s">
        <v>104</v>
      </c>
      <c r="E1054" s="7" t="s">
        <v>30</v>
      </c>
      <c r="F1054" s="14">
        <v>1316</v>
      </c>
      <c r="G1054" s="15">
        <v>40.58</v>
      </c>
      <c r="H1054" s="16">
        <v>2.9466966467772231E-2</v>
      </c>
      <c r="I1054" s="16">
        <v>2.2269526147206741E-2</v>
      </c>
      <c r="J1054" s="15">
        <v>22.69</v>
      </c>
      <c r="K1054" s="14">
        <v>119</v>
      </c>
      <c r="L1054" s="14">
        <v>7</v>
      </c>
      <c r="M1054" s="15">
        <v>4.4400000000000004</v>
      </c>
      <c r="N1054" s="17">
        <v>53403.28</v>
      </c>
      <c r="O1054" s="17">
        <v>1573.6326610290521</v>
      </c>
      <c r="P1054" s="17">
        <v>1154.221686615718</v>
      </c>
      <c r="Q1054" s="17">
        <v>50675.425652355232</v>
      </c>
      <c r="R1054" s="17">
        <v>29860.04</v>
      </c>
      <c r="S1054" s="17">
        <v>20815.385652355231</v>
      </c>
      <c r="T1054" s="17">
        <v>31.08</v>
      </c>
    </row>
    <row r="1055" spans="1:20" x14ac:dyDescent="0.3">
      <c r="A1055" s="13">
        <v>45900</v>
      </c>
      <c r="B1055" s="7" t="s">
        <v>133</v>
      </c>
      <c r="C1055" s="7" t="s">
        <v>27</v>
      </c>
      <c r="D1055" s="7" t="s">
        <v>102</v>
      </c>
      <c r="E1055" s="7" t="s">
        <v>25</v>
      </c>
      <c r="F1055" s="14">
        <v>5070</v>
      </c>
      <c r="G1055" s="15">
        <v>141.44</v>
      </c>
      <c r="H1055" s="16">
        <v>5.2220159651978522E-2</v>
      </c>
      <c r="I1055" s="16">
        <v>5.5895230361038627E-2</v>
      </c>
      <c r="J1055" s="15">
        <v>75.41</v>
      </c>
      <c r="K1055" s="14">
        <v>3599</v>
      </c>
      <c r="L1055" s="14">
        <v>1450</v>
      </c>
      <c r="M1055" s="15">
        <v>19.55</v>
      </c>
      <c r="N1055" s="17">
        <v>717100.8</v>
      </c>
      <c r="O1055" s="17">
        <v>37447.118262561533</v>
      </c>
      <c r="P1055" s="17">
        <v>37989.399106442157</v>
      </c>
      <c r="Q1055" s="17">
        <v>641664.28263099643</v>
      </c>
      <c r="R1055" s="17">
        <v>382328.7</v>
      </c>
      <c r="S1055" s="17">
        <v>259335.58263099639</v>
      </c>
      <c r="T1055" s="17">
        <v>28347.5</v>
      </c>
    </row>
    <row r="1056" spans="1:20" x14ac:dyDescent="0.3">
      <c r="A1056" s="13">
        <v>45900</v>
      </c>
      <c r="B1056" s="7" t="s">
        <v>133</v>
      </c>
      <c r="C1056" s="7" t="s">
        <v>27</v>
      </c>
      <c r="D1056" s="7" t="s">
        <v>102</v>
      </c>
      <c r="E1056" s="7" t="s">
        <v>28</v>
      </c>
      <c r="F1056" s="14">
        <v>3052</v>
      </c>
      <c r="G1056" s="15">
        <v>131.61000000000001</v>
      </c>
      <c r="H1056" s="16">
        <v>9.8150128747346632E-2</v>
      </c>
      <c r="I1056" s="16">
        <v>8.1022505198282371E-2</v>
      </c>
      <c r="J1056" s="15">
        <v>74.349999999999994</v>
      </c>
      <c r="K1056" s="14">
        <v>2431</v>
      </c>
      <c r="L1056" s="14">
        <v>773</v>
      </c>
      <c r="M1056" s="15">
        <v>16.170000000000002</v>
      </c>
      <c r="N1056" s="17">
        <v>401673.72</v>
      </c>
      <c r="O1056" s="17">
        <v>39424.327332425673</v>
      </c>
      <c r="P1056" s="17">
        <v>29350.35330048317</v>
      </c>
      <c r="Q1056" s="17">
        <v>332899.03936709109</v>
      </c>
      <c r="R1056" s="17">
        <v>226916.2</v>
      </c>
      <c r="S1056" s="17">
        <v>105982.8393670912</v>
      </c>
      <c r="T1056" s="17">
        <v>12499.41</v>
      </c>
    </row>
    <row r="1057" spans="1:20" x14ac:dyDescent="0.3">
      <c r="A1057" s="13">
        <v>45900</v>
      </c>
      <c r="B1057" s="7" t="s">
        <v>133</v>
      </c>
      <c r="C1057" s="7" t="s">
        <v>27</v>
      </c>
      <c r="D1057" s="7" t="s">
        <v>102</v>
      </c>
      <c r="E1057" s="7" t="s">
        <v>30</v>
      </c>
      <c r="F1057" s="14">
        <v>2218</v>
      </c>
      <c r="G1057" s="15">
        <v>114.19</v>
      </c>
      <c r="H1057" s="16">
        <v>4.2868843453334853E-2</v>
      </c>
      <c r="I1057" s="16">
        <v>1.7113856371447141E-2</v>
      </c>
      <c r="J1057" s="15">
        <v>77.5</v>
      </c>
      <c r="K1057" s="14">
        <v>196</v>
      </c>
      <c r="L1057" s="14">
        <v>11</v>
      </c>
      <c r="M1057" s="15">
        <v>3.6</v>
      </c>
      <c r="N1057" s="17">
        <v>253273.42</v>
      </c>
      <c r="O1057" s="17">
        <v>10857.538592870729</v>
      </c>
      <c r="P1057" s="17">
        <v>4148.6705765593742</v>
      </c>
      <c r="Q1057" s="17">
        <v>238267.21083056991</v>
      </c>
      <c r="R1057" s="17">
        <v>171895</v>
      </c>
      <c r="S1057" s="17">
        <v>66372.210830569878</v>
      </c>
      <c r="T1057" s="17">
        <v>39.6</v>
      </c>
    </row>
    <row r="1058" spans="1:20" x14ac:dyDescent="0.3">
      <c r="A1058" s="13">
        <v>45900</v>
      </c>
      <c r="B1058" s="7" t="s">
        <v>133</v>
      </c>
      <c r="C1058" s="7" t="s">
        <v>27</v>
      </c>
      <c r="D1058" s="7" t="s">
        <v>103</v>
      </c>
      <c r="E1058" s="7" t="s">
        <v>25</v>
      </c>
      <c r="F1058" s="14">
        <v>4186</v>
      </c>
      <c r="G1058" s="15">
        <v>258.95</v>
      </c>
      <c r="H1058" s="16">
        <v>7.7214193209211163E-2</v>
      </c>
      <c r="I1058" s="16">
        <v>2.6751542190672599E-2</v>
      </c>
      <c r="J1058" s="15">
        <v>140.11000000000001</v>
      </c>
      <c r="K1058" s="14">
        <v>2731</v>
      </c>
      <c r="L1058" s="14">
        <v>1018</v>
      </c>
      <c r="M1058" s="15">
        <v>36.36</v>
      </c>
      <c r="N1058" s="17">
        <v>1083964.7</v>
      </c>
      <c r="O1058" s="17">
        <v>83697.459777764612</v>
      </c>
      <c r="P1058" s="17">
        <v>26758.691278752769</v>
      </c>
      <c r="Q1058" s="17">
        <v>973508.54894348257</v>
      </c>
      <c r="R1058" s="17">
        <v>586500.46000000008</v>
      </c>
      <c r="S1058" s="17">
        <v>387008.08894348249</v>
      </c>
      <c r="T1058" s="17">
        <v>37014.480000000003</v>
      </c>
    </row>
    <row r="1059" spans="1:20" x14ac:dyDescent="0.3">
      <c r="A1059" s="13">
        <v>45900</v>
      </c>
      <c r="B1059" s="7" t="s">
        <v>133</v>
      </c>
      <c r="C1059" s="7" t="s">
        <v>27</v>
      </c>
      <c r="D1059" s="7" t="s">
        <v>103</v>
      </c>
      <c r="E1059" s="7" t="s">
        <v>28</v>
      </c>
      <c r="F1059" s="14">
        <v>1377</v>
      </c>
      <c r="G1059" s="15">
        <v>239.21</v>
      </c>
      <c r="H1059" s="16">
        <v>0.1070999269181786</v>
      </c>
      <c r="I1059" s="16">
        <v>4.5434069563384007E-2</v>
      </c>
      <c r="J1059" s="15">
        <v>131.80000000000001</v>
      </c>
      <c r="K1059" s="14">
        <v>1102</v>
      </c>
      <c r="L1059" s="14">
        <v>342</v>
      </c>
      <c r="M1059" s="15">
        <v>16.2</v>
      </c>
      <c r="N1059" s="17">
        <v>329392.17</v>
      </c>
      <c r="O1059" s="17">
        <v>35277.877334420249</v>
      </c>
      <c r="P1059" s="17">
        <v>13362.809232553431</v>
      </c>
      <c r="Q1059" s="17">
        <v>280751.4834330263</v>
      </c>
      <c r="R1059" s="17">
        <v>181488.6</v>
      </c>
      <c r="S1059" s="17">
        <v>99262.883433026291</v>
      </c>
      <c r="T1059" s="17">
        <v>5540.4</v>
      </c>
    </row>
    <row r="1060" spans="1:20" x14ac:dyDescent="0.3">
      <c r="A1060" s="13">
        <v>45900</v>
      </c>
      <c r="B1060" s="7" t="s">
        <v>133</v>
      </c>
      <c r="C1060" s="7" t="s">
        <v>27</v>
      </c>
      <c r="D1060" s="7" t="s">
        <v>103</v>
      </c>
      <c r="E1060" s="7" t="s">
        <v>30</v>
      </c>
      <c r="F1060" s="14">
        <v>855</v>
      </c>
      <c r="G1060" s="15">
        <v>218.94</v>
      </c>
      <c r="H1060" s="16">
        <v>2.9320749350751001E-2</v>
      </c>
      <c r="I1060" s="16">
        <v>2.5320853511705221E-2</v>
      </c>
      <c r="J1060" s="15">
        <v>142.18</v>
      </c>
      <c r="K1060" s="14">
        <v>73</v>
      </c>
      <c r="L1060" s="14">
        <v>5</v>
      </c>
      <c r="M1060" s="15">
        <v>4.59</v>
      </c>
      <c r="N1060" s="17">
        <v>187193.7</v>
      </c>
      <c r="O1060" s="17">
        <v>5488.6595577396774</v>
      </c>
      <c r="P1060" s="17">
        <v>4600.9267113769474</v>
      </c>
      <c r="Q1060" s="17">
        <v>177104.1137308834</v>
      </c>
      <c r="R1060" s="17">
        <v>121563.9</v>
      </c>
      <c r="S1060" s="17">
        <v>55540.213730883363</v>
      </c>
      <c r="T1060" s="17">
        <v>22.95</v>
      </c>
    </row>
    <row r="1061" spans="1:20" x14ac:dyDescent="0.3">
      <c r="A1061" s="13">
        <v>45900</v>
      </c>
      <c r="B1061" s="7" t="s">
        <v>133</v>
      </c>
      <c r="C1061" s="7" t="s">
        <v>27</v>
      </c>
      <c r="D1061" s="7" t="s">
        <v>104</v>
      </c>
      <c r="E1061" s="7" t="s">
        <v>25</v>
      </c>
      <c r="F1061" s="14">
        <v>3162</v>
      </c>
      <c r="G1061" s="15">
        <v>52.61</v>
      </c>
      <c r="H1061" s="16">
        <v>6.9433835709077477E-2</v>
      </c>
      <c r="I1061" s="16">
        <v>3.1618235176684689E-2</v>
      </c>
      <c r="J1061" s="15">
        <v>23.81</v>
      </c>
      <c r="K1061" s="14">
        <v>2158</v>
      </c>
      <c r="L1061" s="14">
        <v>753</v>
      </c>
      <c r="M1061" s="15">
        <v>35.42</v>
      </c>
      <c r="N1061" s="17">
        <v>166352.82</v>
      </c>
      <c r="O1061" s="17">
        <v>11550.51437362174</v>
      </c>
      <c r="P1061" s="17">
        <v>4894.5757051878481</v>
      </c>
      <c r="Q1061" s="17">
        <v>149907.72992119039</v>
      </c>
      <c r="R1061" s="17">
        <v>75287.22</v>
      </c>
      <c r="S1061" s="17">
        <v>74620.509921190416</v>
      </c>
      <c r="T1061" s="17">
        <v>26671.26</v>
      </c>
    </row>
    <row r="1062" spans="1:20" x14ac:dyDescent="0.3">
      <c r="A1062" s="13">
        <v>45900</v>
      </c>
      <c r="B1062" s="7" t="s">
        <v>133</v>
      </c>
      <c r="C1062" s="7" t="s">
        <v>27</v>
      </c>
      <c r="D1062" s="7" t="s">
        <v>104</v>
      </c>
      <c r="E1062" s="7" t="s">
        <v>28</v>
      </c>
      <c r="F1062" s="14">
        <v>1022</v>
      </c>
      <c r="G1062" s="15">
        <v>50.43</v>
      </c>
      <c r="H1062" s="16">
        <v>8.4163933991571196E-2</v>
      </c>
      <c r="I1062" s="16">
        <v>6.3475964130455878E-2</v>
      </c>
      <c r="J1062" s="15">
        <v>23.57</v>
      </c>
      <c r="K1062" s="14">
        <v>872</v>
      </c>
      <c r="L1062" s="14">
        <v>265</v>
      </c>
      <c r="M1062" s="15">
        <v>22.17</v>
      </c>
      <c r="N1062" s="17">
        <v>51539.46</v>
      </c>
      <c r="O1062" s="17">
        <v>4337.7637094012243</v>
      </c>
      <c r="P1062" s="17">
        <v>2996.1731806387202</v>
      </c>
      <c r="Q1062" s="17">
        <v>44205.523109960057</v>
      </c>
      <c r="R1062" s="17">
        <v>24088.54</v>
      </c>
      <c r="S1062" s="17">
        <v>20116.98310996006</v>
      </c>
      <c r="T1062" s="17">
        <v>5875.05</v>
      </c>
    </row>
    <row r="1063" spans="1:20" x14ac:dyDescent="0.3">
      <c r="A1063" s="13">
        <v>45900</v>
      </c>
      <c r="B1063" s="7" t="s">
        <v>133</v>
      </c>
      <c r="C1063" s="7" t="s">
        <v>27</v>
      </c>
      <c r="D1063" s="7" t="s">
        <v>104</v>
      </c>
      <c r="E1063" s="7" t="s">
        <v>30</v>
      </c>
      <c r="F1063" s="14">
        <v>729</v>
      </c>
      <c r="G1063" s="15">
        <v>43.69</v>
      </c>
      <c r="H1063" s="16">
        <v>3.7030212694655798E-2</v>
      </c>
      <c r="I1063" s="16">
        <v>1.4920022844159849E-2</v>
      </c>
      <c r="J1063" s="15">
        <v>22.98</v>
      </c>
      <c r="K1063" s="14">
        <v>63</v>
      </c>
      <c r="L1063" s="14">
        <v>4</v>
      </c>
      <c r="M1063" s="15">
        <v>4.05</v>
      </c>
      <c r="N1063" s="17">
        <v>31850.01</v>
      </c>
      <c r="O1063" s="17">
        <v>1179.412644626914</v>
      </c>
      <c r="P1063" s="17">
        <v>457.60601318619518</v>
      </c>
      <c r="Q1063" s="17">
        <v>30212.991342186891</v>
      </c>
      <c r="R1063" s="17">
        <v>16752.419999999998</v>
      </c>
      <c r="S1063" s="17">
        <v>13460.57134218689</v>
      </c>
      <c r="T1063" s="17">
        <v>16.2</v>
      </c>
    </row>
    <row r="1064" spans="1:20" x14ac:dyDescent="0.3">
      <c r="A1064" s="13">
        <v>45900</v>
      </c>
      <c r="B1064" s="7" t="s">
        <v>133</v>
      </c>
      <c r="C1064" s="7" t="s">
        <v>29</v>
      </c>
      <c r="D1064" s="7" t="s">
        <v>102</v>
      </c>
      <c r="E1064" s="7" t="s">
        <v>25</v>
      </c>
      <c r="F1064" s="14">
        <v>4582</v>
      </c>
      <c r="G1064" s="15">
        <v>122.96</v>
      </c>
      <c r="H1064" s="16">
        <v>5.2062353121595427E-2</v>
      </c>
      <c r="I1064" s="16">
        <v>2.5572852139972881E-2</v>
      </c>
      <c r="J1064" s="15">
        <v>73.739999999999995</v>
      </c>
      <c r="K1064" s="14">
        <v>3187</v>
      </c>
      <c r="L1064" s="14">
        <v>1284</v>
      </c>
      <c r="M1064" s="15">
        <v>39.97</v>
      </c>
      <c r="N1064" s="17">
        <v>563402.72</v>
      </c>
      <c r="O1064" s="17">
        <v>29332.071358307359</v>
      </c>
      <c r="P1064" s="17">
        <v>13657.70973001341</v>
      </c>
      <c r="Q1064" s="17">
        <v>520412.9389116792</v>
      </c>
      <c r="R1064" s="17">
        <v>337876.68</v>
      </c>
      <c r="S1064" s="17">
        <v>182536.25891167921</v>
      </c>
      <c r="T1064" s="17">
        <v>51321.48</v>
      </c>
    </row>
    <row r="1065" spans="1:20" x14ac:dyDescent="0.3">
      <c r="A1065" s="13">
        <v>45900</v>
      </c>
      <c r="B1065" s="7" t="s">
        <v>133</v>
      </c>
      <c r="C1065" s="7" t="s">
        <v>29</v>
      </c>
      <c r="D1065" s="7" t="s">
        <v>102</v>
      </c>
      <c r="E1065" s="7" t="s">
        <v>28</v>
      </c>
      <c r="F1065" s="14">
        <v>2773</v>
      </c>
      <c r="G1065" s="15">
        <v>121.85</v>
      </c>
      <c r="H1065" s="16">
        <v>9.448309972912694E-2</v>
      </c>
      <c r="I1065" s="16">
        <v>6.9691945140362574E-2</v>
      </c>
      <c r="J1065" s="15">
        <v>71.989999999999995</v>
      </c>
      <c r="K1065" s="14">
        <v>2376</v>
      </c>
      <c r="L1065" s="14">
        <v>740</v>
      </c>
      <c r="M1065" s="15">
        <v>13.59</v>
      </c>
      <c r="N1065" s="17">
        <v>337890.05</v>
      </c>
      <c r="O1065" s="17">
        <v>31924.899291629688</v>
      </c>
      <c r="P1065" s="17">
        <v>21323.30649803051</v>
      </c>
      <c r="Q1065" s="17">
        <v>284641.84421033983</v>
      </c>
      <c r="R1065" s="17">
        <v>199628.27</v>
      </c>
      <c r="S1065" s="17">
        <v>85013.574210339837</v>
      </c>
      <c r="T1065" s="17">
        <v>10056.6</v>
      </c>
    </row>
    <row r="1066" spans="1:20" x14ac:dyDescent="0.3">
      <c r="A1066" s="13">
        <v>45900</v>
      </c>
      <c r="B1066" s="7" t="s">
        <v>133</v>
      </c>
      <c r="C1066" s="7" t="s">
        <v>29</v>
      </c>
      <c r="D1066" s="7" t="s">
        <v>102</v>
      </c>
      <c r="E1066" s="7" t="s">
        <v>30</v>
      </c>
      <c r="F1066" s="14">
        <v>1562</v>
      </c>
      <c r="G1066" s="15">
        <v>106.87</v>
      </c>
      <c r="H1066" s="16">
        <v>4.0487663005546411E-2</v>
      </c>
      <c r="I1066" s="16">
        <v>2.5894217220128218E-2</v>
      </c>
      <c r="J1066" s="15">
        <v>71.739999999999995</v>
      </c>
      <c r="K1066" s="14">
        <v>130</v>
      </c>
      <c r="L1066" s="14">
        <v>8</v>
      </c>
      <c r="M1066" s="15">
        <v>4.72</v>
      </c>
      <c r="N1066" s="17">
        <v>166930.94</v>
      </c>
      <c r="O1066" s="17">
        <v>6758.6436439190866</v>
      </c>
      <c r="P1066" s="17">
        <v>4147.5362344911109</v>
      </c>
      <c r="Q1066" s="17">
        <v>156024.76012158979</v>
      </c>
      <c r="R1066" s="17">
        <v>112057.88</v>
      </c>
      <c r="S1066" s="17">
        <v>43966.880121589827</v>
      </c>
      <c r="T1066" s="17">
        <v>37.76</v>
      </c>
    </row>
    <row r="1067" spans="1:20" x14ac:dyDescent="0.3">
      <c r="A1067" s="13">
        <v>45900</v>
      </c>
      <c r="B1067" s="7" t="s">
        <v>133</v>
      </c>
      <c r="C1067" s="7" t="s">
        <v>29</v>
      </c>
      <c r="D1067" s="7" t="s">
        <v>103</v>
      </c>
      <c r="E1067" s="7" t="s">
        <v>25</v>
      </c>
      <c r="F1067" s="14">
        <v>1738</v>
      </c>
      <c r="G1067" s="15">
        <v>228.01</v>
      </c>
      <c r="H1067" s="16">
        <v>6.8486447579075099E-2</v>
      </c>
      <c r="I1067" s="16">
        <v>4.1812539483450498E-2</v>
      </c>
      <c r="J1067" s="15">
        <v>123.3</v>
      </c>
      <c r="K1067" s="14">
        <v>1163</v>
      </c>
      <c r="L1067" s="14">
        <v>456</v>
      </c>
      <c r="M1067" s="15">
        <v>44.37</v>
      </c>
      <c r="N1067" s="17">
        <v>396281.38</v>
      </c>
      <c r="O1067" s="17">
        <v>27139.90395793354</v>
      </c>
      <c r="P1067" s="17">
        <v>15434.7425419881</v>
      </c>
      <c r="Q1067" s="17">
        <v>353706.73350007838</v>
      </c>
      <c r="R1067" s="17">
        <v>214295.4</v>
      </c>
      <c r="S1067" s="17">
        <v>139411.33350007841</v>
      </c>
      <c r="T1067" s="17">
        <v>20232.72</v>
      </c>
    </row>
    <row r="1068" spans="1:20" x14ac:dyDescent="0.3">
      <c r="A1068" s="13">
        <v>45900</v>
      </c>
      <c r="B1068" s="7" t="s">
        <v>133</v>
      </c>
      <c r="C1068" s="7" t="s">
        <v>29</v>
      </c>
      <c r="D1068" s="7" t="s">
        <v>103</v>
      </c>
      <c r="E1068" s="7" t="s">
        <v>28</v>
      </c>
      <c r="F1068" s="14">
        <v>987</v>
      </c>
      <c r="G1068" s="15">
        <v>218.09</v>
      </c>
      <c r="H1068" s="16">
        <v>0.1025282113985478</v>
      </c>
      <c r="I1068" s="16">
        <v>6.3127379558633706E-2</v>
      </c>
      <c r="J1068" s="15">
        <v>115.81</v>
      </c>
      <c r="K1068" s="14">
        <v>861</v>
      </c>
      <c r="L1068" s="14">
        <v>252</v>
      </c>
      <c r="M1068" s="15">
        <v>18.059999999999999</v>
      </c>
      <c r="N1068" s="17">
        <v>215254.83</v>
      </c>
      <c r="O1068" s="17">
        <v>22069.692714798461</v>
      </c>
      <c r="P1068" s="17">
        <v>12195.271486489681</v>
      </c>
      <c r="Q1068" s="17">
        <v>180989.86579871189</v>
      </c>
      <c r="R1068" s="17">
        <v>114304.47</v>
      </c>
      <c r="S1068" s="17">
        <v>66685.395798711863</v>
      </c>
      <c r="T1068" s="17">
        <v>4551.12</v>
      </c>
    </row>
    <row r="1069" spans="1:20" x14ac:dyDescent="0.3">
      <c r="A1069" s="13">
        <v>45900</v>
      </c>
      <c r="B1069" s="7" t="s">
        <v>133</v>
      </c>
      <c r="C1069" s="7" t="s">
        <v>29</v>
      </c>
      <c r="D1069" s="7" t="s">
        <v>103</v>
      </c>
      <c r="E1069" s="7" t="s">
        <v>30</v>
      </c>
      <c r="F1069" s="14">
        <v>1002</v>
      </c>
      <c r="G1069" s="15">
        <v>178.88</v>
      </c>
      <c r="H1069" s="16">
        <v>3.5677269575949647E-2</v>
      </c>
      <c r="I1069" s="16">
        <v>2.20567881557572E-2</v>
      </c>
      <c r="J1069" s="15">
        <v>126.15</v>
      </c>
      <c r="K1069" s="14">
        <v>85</v>
      </c>
      <c r="L1069" s="14">
        <v>5</v>
      </c>
      <c r="M1069" s="15">
        <v>6.09</v>
      </c>
      <c r="N1069" s="17">
        <v>179237.76000000001</v>
      </c>
      <c r="O1069" s="17">
        <v>6394.7138817093646</v>
      </c>
      <c r="P1069" s="17">
        <v>3812.362452426908</v>
      </c>
      <c r="Q1069" s="17">
        <v>169030.68366586379</v>
      </c>
      <c r="R1069" s="17">
        <v>126402.3</v>
      </c>
      <c r="S1069" s="17">
        <v>42628.383665863759</v>
      </c>
      <c r="T1069" s="17">
        <v>30.45</v>
      </c>
    </row>
    <row r="1070" spans="1:20" x14ac:dyDescent="0.3">
      <c r="A1070" s="13">
        <v>45900</v>
      </c>
      <c r="B1070" s="7" t="s">
        <v>133</v>
      </c>
      <c r="C1070" s="7" t="s">
        <v>29</v>
      </c>
      <c r="D1070" s="7" t="s">
        <v>104</v>
      </c>
      <c r="E1070" s="7" t="s">
        <v>25</v>
      </c>
      <c r="F1070" s="14">
        <v>1721</v>
      </c>
      <c r="G1070" s="15">
        <v>45.48</v>
      </c>
      <c r="H1070" s="16">
        <v>3.9697878020147272E-2</v>
      </c>
      <c r="I1070" s="16">
        <v>4.4310096921300772E-2</v>
      </c>
      <c r="J1070" s="15">
        <v>22.97</v>
      </c>
      <c r="K1070" s="14">
        <v>1206</v>
      </c>
      <c r="L1070" s="14">
        <v>459</v>
      </c>
      <c r="M1070" s="15">
        <v>28.44</v>
      </c>
      <c r="N1070" s="17">
        <v>78271.08</v>
      </c>
      <c r="O1070" s="17">
        <v>3107.1957863451889</v>
      </c>
      <c r="P1070" s="17">
        <v>3330.5189944884742</v>
      </c>
      <c r="Q1070" s="17">
        <v>71833.365219166342</v>
      </c>
      <c r="R1070" s="17">
        <v>39531.370000000003</v>
      </c>
      <c r="S1070" s="17">
        <v>32301.995219166351</v>
      </c>
      <c r="T1070" s="17">
        <v>13053.96</v>
      </c>
    </row>
    <row r="1071" spans="1:20" x14ac:dyDescent="0.3">
      <c r="A1071" s="13">
        <v>45900</v>
      </c>
      <c r="B1071" s="7" t="s">
        <v>133</v>
      </c>
      <c r="C1071" s="7" t="s">
        <v>29</v>
      </c>
      <c r="D1071" s="7" t="s">
        <v>104</v>
      </c>
      <c r="E1071" s="7" t="s">
        <v>28</v>
      </c>
      <c r="F1071" s="14">
        <v>600</v>
      </c>
      <c r="G1071" s="15">
        <v>44.44</v>
      </c>
      <c r="H1071" s="16">
        <v>0.1151646551605587</v>
      </c>
      <c r="I1071" s="16">
        <v>2.7878536795204429E-2</v>
      </c>
      <c r="J1071" s="15">
        <v>22.37</v>
      </c>
      <c r="K1071" s="14">
        <v>513</v>
      </c>
      <c r="L1071" s="14">
        <v>151</v>
      </c>
      <c r="M1071" s="15">
        <v>17.32</v>
      </c>
      <c r="N1071" s="17">
        <v>26664</v>
      </c>
      <c r="O1071" s="17">
        <v>3070.7503652011378</v>
      </c>
      <c r="P1071" s="17">
        <v>657.7452780621835</v>
      </c>
      <c r="Q1071" s="17">
        <v>22935.504356736681</v>
      </c>
      <c r="R1071" s="17">
        <v>13422</v>
      </c>
      <c r="S1071" s="17">
        <v>9513.5043567366811</v>
      </c>
      <c r="T1071" s="17">
        <v>2615.3200000000002</v>
      </c>
    </row>
    <row r="1072" spans="1:20" x14ac:dyDescent="0.3">
      <c r="A1072" s="13">
        <v>45900</v>
      </c>
      <c r="B1072" s="7" t="s">
        <v>133</v>
      </c>
      <c r="C1072" s="7" t="s">
        <v>29</v>
      </c>
      <c r="D1072" s="7" t="s">
        <v>104</v>
      </c>
      <c r="E1072" s="7" t="s">
        <v>30</v>
      </c>
      <c r="F1072" s="14">
        <v>835</v>
      </c>
      <c r="G1072" s="15">
        <v>38.369999999999997</v>
      </c>
      <c r="H1072" s="16">
        <v>3.9423996029596849E-2</v>
      </c>
      <c r="I1072" s="16">
        <v>1.9009701183905471E-2</v>
      </c>
      <c r="J1072" s="15">
        <v>22.55</v>
      </c>
      <c r="K1072" s="14">
        <v>65</v>
      </c>
      <c r="L1072" s="14">
        <v>4</v>
      </c>
      <c r="M1072" s="15">
        <v>5.94</v>
      </c>
      <c r="N1072" s="17">
        <v>32038.95</v>
      </c>
      <c r="O1072" s="17">
        <v>1263.1034375924521</v>
      </c>
      <c r="P1072" s="17">
        <v>585.03964683309175</v>
      </c>
      <c r="Q1072" s="17">
        <v>30190.80691557446</v>
      </c>
      <c r="R1072" s="17">
        <v>18829.25</v>
      </c>
      <c r="S1072" s="17">
        <v>11361.55691557446</v>
      </c>
      <c r="T1072" s="17">
        <v>23.76</v>
      </c>
    </row>
    <row r="1073" spans="1:20" x14ac:dyDescent="0.3">
      <c r="A1073" s="13">
        <v>45900</v>
      </c>
      <c r="B1073" s="7" t="s">
        <v>133</v>
      </c>
      <c r="C1073" s="7" t="s">
        <v>31</v>
      </c>
      <c r="D1073" s="7" t="s">
        <v>102</v>
      </c>
      <c r="E1073" s="7" t="s">
        <v>25</v>
      </c>
      <c r="F1073" s="14">
        <v>1821</v>
      </c>
      <c r="G1073" s="15">
        <v>112.99</v>
      </c>
      <c r="H1073" s="16">
        <v>8.3273776581155062E-2</v>
      </c>
      <c r="I1073" s="16">
        <v>4.4190507347534602E-2</v>
      </c>
      <c r="J1073" s="15">
        <v>71.760000000000005</v>
      </c>
      <c r="K1073" s="14">
        <v>1273</v>
      </c>
      <c r="L1073" s="14">
        <v>473</v>
      </c>
      <c r="M1073" s="15">
        <v>38.549999999999997</v>
      </c>
      <c r="N1073" s="17">
        <v>205754.79</v>
      </c>
      <c r="O1073" s="17">
        <v>17133.978412962471</v>
      </c>
      <c r="P1073" s="17">
        <v>8335.2493603349212</v>
      </c>
      <c r="Q1073" s="17">
        <v>180285.5622267026</v>
      </c>
      <c r="R1073" s="17">
        <v>130674.96</v>
      </c>
      <c r="S1073" s="17">
        <v>49610.602226702598</v>
      </c>
      <c r="T1073" s="17">
        <v>18234.150000000001</v>
      </c>
    </row>
    <row r="1074" spans="1:20" x14ac:dyDescent="0.3">
      <c r="A1074" s="13">
        <v>45900</v>
      </c>
      <c r="B1074" s="7" t="s">
        <v>133</v>
      </c>
      <c r="C1074" s="7" t="s">
        <v>31</v>
      </c>
      <c r="D1074" s="7" t="s">
        <v>102</v>
      </c>
      <c r="E1074" s="7" t="s">
        <v>28</v>
      </c>
      <c r="F1074" s="14">
        <v>777</v>
      </c>
      <c r="G1074" s="15">
        <v>106.19</v>
      </c>
      <c r="H1074" s="16">
        <v>8.3803072412084845E-2</v>
      </c>
      <c r="I1074" s="16">
        <v>6.8725850474557579E-2</v>
      </c>
      <c r="J1074" s="15">
        <v>70.930000000000007</v>
      </c>
      <c r="K1074" s="14">
        <v>693</v>
      </c>
      <c r="L1074" s="14">
        <v>177</v>
      </c>
      <c r="M1074" s="15">
        <v>17.46</v>
      </c>
      <c r="N1074" s="17">
        <v>82509.63</v>
      </c>
      <c r="O1074" s="17">
        <v>6914.560497584328</v>
      </c>
      <c r="P1074" s="17">
        <v>5195.3354432368078</v>
      </c>
      <c r="Q1074" s="17">
        <v>70399.734059178867</v>
      </c>
      <c r="R1074" s="17">
        <v>55112.610000000008</v>
      </c>
      <c r="S1074" s="17">
        <v>15287.124059178859</v>
      </c>
      <c r="T1074" s="17">
        <v>3090.42</v>
      </c>
    </row>
    <row r="1075" spans="1:20" x14ac:dyDescent="0.3">
      <c r="A1075" s="13">
        <v>45900</v>
      </c>
      <c r="B1075" s="7" t="s">
        <v>133</v>
      </c>
      <c r="C1075" s="7" t="s">
        <v>31</v>
      </c>
      <c r="D1075" s="7" t="s">
        <v>102</v>
      </c>
      <c r="E1075" s="7" t="s">
        <v>30</v>
      </c>
      <c r="F1075" s="14">
        <v>801</v>
      </c>
      <c r="G1075" s="15">
        <v>96.17</v>
      </c>
      <c r="H1075" s="16">
        <v>4.4162236675217112E-2</v>
      </c>
      <c r="I1075" s="16">
        <v>2.7922471875785289E-2</v>
      </c>
      <c r="J1075" s="15">
        <v>68.8</v>
      </c>
      <c r="K1075" s="14">
        <v>64</v>
      </c>
      <c r="L1075" s="14">
        <v>3</v>
      </c>
      <c r="M1075" s="15">
        <v>5.62</v>
      </c>
      <c r="N1075" s="17">
        <v>77032.17</v>
      </c>
      <c r="O1075" s="17">
        <v>3401.912923145559</v>
      </c>
      <c r="P1075" s="17">
        <v>2055.9387824353089</v>
      </c>
      <c r="Q1075" s="17">
        <v>71574.318294419136</v>
      </c>
      <c r="R1075" s="17">
        <v>55108.800000000003</v>
      </c>
      <c r="S1075" s="17">
        <v>16465.51829441914</v>
      </c>
      <c r="T1075" s="17">
        <v>16.86</v>
      </c>
    </row>
    <row r="1076" spans="1:20" x14ac:dyDescent="0.3">
      <c r="A1076" s="13">
        <v>45900</v>
      </c>
      <c r="B1076" s="7" t="s">
        <v>133</v>
      </c>
      <c r="C1076" s="7" t="s">
        <v>31</v>
      </c>
      <c r="D1076" s="7" t="s">
        <v>103</v>
      </c>
      <c r="E1076" s="7" t="s">
        <v>25</v>
      </c>
      <c r="F1076" s="14">
        <v>954</v>
      </c>
      <c r="G1076" s="15">
        <v>212.29</v>
      </c>
      <c r="H1076" s="16">
        <v>5.694422859000612E-2</v>
      </c>
      <c r="I1076" s="16">
        <v>4.9609321786082607E-2</v>
      </c>
      <c r="J1076" s="15">
        <v>123.14</v>
      </c>
      <c r="K1076" s="14">
        <v>689</v>
      </c>
      <c r="L1076" s="14">
        <v>278</v>
      </c>
      <c r="M1076" s="15">
        <v>28.06</v>
      </c>
      <c r="N1076" s="17">
        <v>202524.66</v>
      </c>
      <c r="O1076" s="17">
        <v>11532.610534153269</v>
      </c>
      <c r="P1076" s="17">
        <v>9474.9860405345989</v>
      </c>
      <c r="Q1076" s="17">
        <v>181517.06342531211</v>
      </c>
      <c r="R1076" s="17">
        <v>117475.56</v>
      </c>
      <c r="S1076" s="17">
        <v>64041.503425312141</v>
      </c>
      <c r="T1076" s="17">
        <v>7800.6799999999994</v>
      </c>
    </row>
    <row r="1077" spans="1:20" x14ac:dyDescent="0.3">
      <c r="A1077" s="13">
        <v>45900</v>
      </c>
      <c r="B1077" s="7" t="s">
        <v>133</v>
      </c>
      <c r="C1077" s="7" t="s">
        <v>31</v>
      </c>
      <c r="D1077" s="7" t="s">
        <v>103</v>
      </c>
      <c r="E1077" s="7" t="s">
        <v>28</v>
      </c>
      <c r="F1077" s="14">
        <v>359</v>
      </c>
      <c r="G1077" s="15">
        <v>204.19</v>
      </c>
      <c r="H1077" s="16">
        <v>7.4983579159447158E-2</v>
      </c>
      <c r="I1077" s="16">
        <v>4.2483638761501179E-2</v>
      </c>
      <c r="J1077" s="15">
        <v>125.42</v>
      </c>
      <c r="K1077" s="14">
        <v>296</v>
      </c>
      <c r="L1077" s="14">
        <v>97</v>
      </c>
      <c r="M1077" s="15">
        <v>14.32</v>
      </c>
      <c r="N1077" s="17">
        <v>73304.210000000006</v>
      </c>
      <c r="O1077" s="17">
        <v>5496.6120332557384</v>
      </c>
      <c r="P1077" s="17">
        <v>2880.7134973042662</v>
      </c>
      <c r="Q1077" s="17">
        <v>64926.88446944001</v>
      </c>
      <c r="R1077" s="17">
        <v>45025.78</v>
      </c>
      <c r="S1077" s="17">
        <v>19901.104469440012</v>
      </c>
      <c r="T1077" s="17">
        <v>1389.04</v>
      </c>
    </row>
    <row r="1078" spans="1:20" x14ac:dyDescent="0.3">
      <c r="A1078" s="13">
        <v>45900</v>
      </c>
      <c r="B1078" s="7" t="s">
        <v>133</v>
      </c>
      <c r="C1078" s="7" t="s">
        <v>31</v>
      </c>
      <c r="D1078" s="7" t="s">
        <v>103</v>
      </c>
      <c r="E1078" s="7" t="s">
        <v>30</v>
      </c>
      <c r="F1078" s="14">
        <v>400</v>
      </c>
      <c r="G1078" s="15">
        <v>169.82</v>
      </c>
      <c r="H1078" s="16">
        <v>4.6860169181234972E-2</v>
      </c>
      <c r="I1078" s="16">
        <v>2.0924293270301819E-2</v>
      </c>
      <c r="J1078" s="15">
        <v>121.71</v>
      </c>
      <c r="K1078" s="14">
        <v>33</v>
      </c>
      <c r="L1078" s="14">
        <v>2</v>
      </c>
      <c r="M1078" s="15">
        <v>3.23</v>
      </c>
      <c r="N1078" s="17">
        <v>67928</v>
      </c>
      <c r="O1078" s="17">
        <v>3183.117572142929</v>
      </c>
      <c r="P1078" s="17">
        <v>1354.740907671692</v>
      </c>
      <c r="Q1078" s="17">
        <v>63390.141520185367</v>
      </c>
      <c r="R1078" s="17">
        <v>48684</v>
      </c>
      <c r="S1078" s="17">
        <v>14706.141520185371</v>
      </c>
      <c r="T1078" s="17">
        <v>6.46</v>
      </c>
    </row>
    <row r="1079" spans="1:20" x14ac:dyDescent="0.3">
      <c r="A1079" s="13">
        <v>45900</v>
      </c>
      <c r="B1079" s="7" t="s">
        <v>133</v>
      </c>
      <c r="C1079" s="7" t="s">
        <v>31</v>
      </c>
      <c r="D1079" s="7" t="s">
        <v>104</v>
      </c>
      <c r="E1079" s="7" t="s">
        <v>25</v>
      </c>
      <c r="F1079" s="14">
        <v>540</v>
      </c>
      <c r="G1079" s="15">
        <v>41.98</v>
      </c>
      <c r="H1079" s="16">
        <v>5.0201759305712919E-2</v>
      </c>
      <c r="I1079" s="16">
        <v>4.5614726298261327E-2</v>
      </c>
      <c r="J1079" s="15">
        <v>22.52</v>
      </c>
      <c r="K1079" s="14">
        <v>369</v>
      </c>
      <c r="L1079" s="14">
        <v>142</v>
      </c>
      <c r="M1079" s="15">
        <v>31.21</v>
      </c>
      <c r="N1079" s="17">
        <v>22669.200000000001</v>
      </c>
      <c r="O1079" s="17">
        <v>1138.0337220530671</v>
      </c>
      <c r="P1079" s="17">
        <v>982.13825665090326</v>
      </c>
      <c r="Q1079" s="17">
        <v>20549.028021296032</v>
      </c>
      <c r="R1079" s="17">
        <v>12160.8</v>
      </c>
      <c r="S1079" s="17">
        <v>8388.2280212960286</v>
      </c>
      <c r="T1079" s="17">
        <v>4431.82</v>
      </c>
    </row>
    <row r="1080" spans="1:20" x14ac:dyDescent="0.3">
      <c r="A1080" s="13">
        <v>45900</v>
      </c>
      <c r="B1080" s="7" t="s">
        <v>133</v>
      </c>
      <c r="C1080" s="7" t="s">
        <v>31</v>
      </c>
      <c r="D1080" s="7" t="s">
        <v>104</v>
      </c>
      <c r="E1080" s="7" t="s">
        <v>28</v>
      </c>
      <c r="F1080" s="14">
        <v>420</v>
      </c>
      <c r="G1080" s="15">
        <v>42.27</v>
      </c>
      <c r="H1080" s="16">
        <v>9.0922348754187532E-2</v>
      </c>
      <c r="I1080" s="16">
        <v>6.1894687718804978E-2</v>
      </c>
      <c r="J1080" s="15">
        <v>23.68</v>
      </c>
      <c r="K1080" s="14">
        <v>334</v>
      </c>
      <c r="L1080" s="14">
        <v>98</v>
      </c>
      <c r="M1080" s="15">
        <v>13.47</v>
      </c>
      <c r="N1080" s="17">
        <v>17753.400000000001</v>
      </c>
      <c r="O1080" s="17">
        <v>1614.1808263725929</v>
      </c>
      <c r="P1080" s="17">
        <v>998.93193077701835</v>
      </c>
      <c r="Q1080" s="17">
        <v>15140.287242850391</v>
      </c>
      <c r="R1080" s="17">
        <v>9945.6</v>
      </c>
      <c r="S1080" s="17">
        <v>5194.6872428503902</v>
      </c>
      <c r="T1080" s="17">
        <v>1320.06</v>
      </c>
    </row>
    <row r="1081" spans="1:20" x14ac:dyDescent="0.3">
      <c r="A1081" s="13">
        <v>45900</v>
      </c>
      <c r="B1081" s="7" t="s">
        <v>133</v>
      </c>
      <c r="C1081" s="7" t="s">
        <v>31</v>
      </c>
      <c r="D1081" s="7" t="s">
        <v>104</v>
      </c>
      <c r="E1081" s="7" t="s">
        <v>30</v>
      </c>
      <c r="F1081" s="14">
        <v>337</v>
      </c>
      <c r="G1081" s="15">
        <v>36.18</v>
      </c>
      <c r="H1081" s="16">
        <v>3.4107883016734571E-2</v>
      </c>
      <c r="I1081" s="16">
        <v>1.656633802216324E-2</v>
      </c>
      <c r="J1081" s="15">
        <v>22.4</v>
      </c>
      <c r="K1081" s="14">
        <v>30</v>
      </c>
      <c r="L1081" s="14">
        <v>2</v>
      </c>
      <c r="M1081" s="15">
        <v>5.72</v>
      </c>
      <c r="N1081" s="17">
        <v>12192.66</v>
      </c>
      <c r="O1081" s="17">
        <v>415.86582094281891</v>
      </c>
      <c r="P1081" s="17">
        <v>195.0983531877057</v>
      </c>
      <c r="Q1081" s="17">
        <v>11581.69582586947</v>
      </c>
      <c r="R1081" s="17">
        <v>7548.7999999999993</v>
      </c>
      <c r="S1081" s="17">
        <v>4032.8958258694752</v>
      </c>
      <c r="T1081" s="17">
        <v>11.44</v>
      </c>
    </row>
    <row r="1082" spans="1:20" x14ac:dyDescent="0.3">
      <c r="A1082" s="13">
        <v>45930</v>
      </c>
      <c r="B1082" s="7" t="s">
        <v>134</v>
      </c>
      <c r="C1082" s="7" t="s">
        <v>24</v>
      </c>
      <c r="D1082" s="7" t="s">
        <v>102</v>
      </c>
      <c r="E1082" s="7" t="s">
        <v>25</v>
      </c>
      <c r="F1082" s="14">
        <v>12471</v>
      </c>
      <c r="G1082" s="15">
        <v>130.16</v>
      </c>
      <c r="H1082" s="16">
        <v>6.8118821804294405E-2</v>
      </c>
      <c r="I1082" s="16">
        <v>4.2074887978521817E-2</v>
      </c>
      <c r="J1082" s="15">
        <v>75.319999999999993</v>
      </c>
      <c r="K1082" s="14">
        <v>8577</v>
      </c>
      <c r="L1082" s="14">
        <v>3493</v>
      </c>
      <c r="M1082" s="15">
        <v>34.44</v>
      </c>
      <c r="N1082" s="17">
        <v>1623225.36</v>
      </c>
      <c r="O1082" s="17">
        <v>110572.1990460516</v>
      </c>
      <c r="P1082" s="17">
        <v>63644.71229749432</v>
      </c>
      <c r="Q1082" s="17">
        <v>1449008.448656454</v>
      </c>
      <c r="R1082" s="17">
        <v>939315.72</v>
      </c>
      <c r="S1082" s="17">
        <v>509692.72865645401</v>
      </c>
      <c r="T1082" s="17">
        <v>120298.92</v>
      </c>
    </row>
    <row r="1083" spans="1:20" x14ac:dyDescent="0.3">
      <c r="A1083" s="13">
        <v>45930</v>
      </c>
      <c r="B1083" s="7" t="s">
        <v>134</v>
      </c>
      <c r="C1083" s="7" t="s">
        <v>24</v>
      </c>
      <c r="D1083" s="7" t="s">
        <v>102</v>
      </c>
      <c r="E1083" s="7" t="s">
        <v>28</v>
      </c>
      <c r="F1083" s="14">
        <v>3201</v>
      </c>
      <c r="G1083" s="15">
        <v>118.2</v>
      </c>
      <c r="H1083" s="16">
        <v>0.1012213498931967</v>
      </c>
      <c r="I1083" s="16">
        <v>7.3073339494322126E-2</v>
      </c>
      <c r="J1083" s="15">
        <v>75.05</v>
      </c>
      <c r="K1083" s="14">
        <v>2548</v>
      </c>
      <c r="L1083" s="14">
        <v>769</v>
      </c>
      <c r="M1083" s="15">
        <v>14.37</v>
      </c>
      <c r="N1083" s="17">
        <v>378358.2</v>
      </c>
      <c r="O1083" s="17">
        <v>38297.927747160087</v>
      </c>
      <c r="P1083" s="17">
        <v>24849.33972286338</v>
      </c>
      <c r="Q1083" s="17">
        <v>315210.93252997648</v>
      </c>
      <c r="R1083" s="17">
        <v>240235.05</v>
      </c>
      <c r="S1083" s="17">
        <v>74975.882529976545</v>
      </c>
      <c r="T1083" s="17">
        <v>11050.53</v>
      </c>
    </row>
    <row r="1084" spans="1:20" x14ac:dyDescent="0.3">
      <c r="A1084" s="13">
        <v>45930</v>
      </c>
      <c r="B1084" s="7" t="s">
        <v>134</v>
      </c>
      <c r="C1084" s="7" t="s">
        <v>24</v>
      </c>
      <c r="D1084" s="7" t="s">
        <v>102</v>
      </c>
      <c r="E1084" s="7" t="s">
        <v>30</v>
      </c>
      <c r="F1084" s="14">
        <v>4383</v>
      </c>
      <c r="G1084" s="15">
        <v>109.03</v>
      </c>
      <c r="H1084" s="16">
        <v>4.1210431928776263E-2</v>
      </c>
      <c r="I1084" s="16">
        <v>2.2651845944994E-2</v>
      </c>
      <c r="J1084" s="15">
        <v>74.06</v>
      </c>
      <c r="K1084" s="14">
        <v>395</v>
      </c>
      <c r="L1084" s="14">
        <v>24</v>
      </c>
      <c r="M1084" s="15">
        <v>4.97</v>
      </c>
      <c r="N1084" s="17">
        <v>477878.49</v>
      </c>
      <c r="O1084" s="17">
        <v>19693.578982371389</v>
      </c>
      <c r="P1084" s="17">
        <v>10378.73401869211</v>
      </c>
      <c r="Q1084" s="17">
        <v>447806.17699893651</v>
      </c>
      <c r="R1084" s="17">
        <v>324604.98</v>
      </c>
      <c r="S1084" s="17">
        <v>123201.1969989365</v>
      </c>
      <c r="T1084" s="17">
        <v>119.28</v>
      </c>
    </row>
    <row r="1085" spans="1:20" x14ac:dyDescent="0.3">
      <c r="A1085" s="13">
        <v>45930</v>
      </c>
      <c r="B1085" s="7" t="s">
        <v>134</v>
      </c>
      <c r="C1085" s="7" t="s">
        <v>24</v>
      </c>
      <c r="D1085" s="7" t="s">
        <v>103</v>
      </c>
      <c r="E1085" s="7" t="s">
        <v>25</v>
      </c>
      <c r="F1085" s="14">
        <v>5030</v>
      </c>
      <c r="G1085" s="15">
        <v>240.06</v>
      </c>
      <c r="H1085" s="16">
        <v>4.9375855632911261E-2</v>
      </c>
      <c r="I1085" s="16">
        <v>5.5920248985760833E-2</v>
      </c>
      <c r="J1085" s="15">
        <v>125.17</v>
      </c>
      <c r="K1085" s="14">
        <v>3794</v>
      </c>
      <c r="L1085" s="14">
        <v>1321</v>
      </c>
      <c r="M1085" s="15">
        <v>23.69</v>
      </c>
      <c r="N1085" s="17">
        <v>1207501.8</v>
      </c>
      <c r="O1085" s="17">
        <v>59621.434553280487</v>
      </c>
      <c r="P1085" s="17">
        <v>64189.755841646693</v>
      </c>
      <c r="Q1085" s="17">
        <v>1083690.609605073</v>
      </c>
      <c r="R1085" s="17">
        <v>629605.1</v>
      </c>
      <c r="S1085" s="17">
        <v>454085.50960507302</v>
      </c>
      <c r="T1085" s="17">
        <v>31294.49</v>
      </c>
    </row>
    <row r="1086" spans="1:20" x14ac:dyDescent="0.3">
      <c r="A1086" s="13">
        <v>45930</v>
      </c>
      <c r="B1086" s="7" t="s">
        <v>134</v>
      </c>
      <c r="C1086" s="7" t="s">
        <v>24</v>
      </c>
      <c r="D1086" s="7" t="s">
        <v>103</v>
      </c>
      <c r="E1086" s="7" t="s">
        <v>28</v>
      </c>
      <c r="F1086" s="14">
        <v>2179</v>
      </c>
      <c r="G1086" s="15">
        <v>227.4</v>
      </c>
      <c r="H1086" s="16">
        <v>9.5523402457475912E-2</v>
      </c>
      <c r="I1086" s="16">
        <v>8.1222609942383311E-2</v>
      </c>
      <c r="J1086" s="15">
        <v>124.07</v>
      </c>
      <c r="K1086" s="14">
        <v>1943</v>
      </c>
      <c r="L1086" s="14">
        <v>606</v>
      </c>
      <c r="M1086" s="15">
        <v>17.64</v>
      </c>
      <c r="N1086" s="17">
        <v>495504.6</v>
      </c>
      <c r="O1086" s="17">
        <v>47332.285325330617</v>
      </c>
      <c r="P1086" s="17">
        <v>36401.725101795753</v>
      </c>
      <c r="Q1086" s="17">
        <v>411770.58957287372</v>
      </c>
      <c r="R1086" s="17">
        <v>270348.53000000003</v>
      </c>
      <c r="S1086" s="17">
        <v>141422.0595728737</v>
      </c>
      <c r="T1086" s="17">
        <v>10689.84</v>
      </c>
    </row>
    <row r="1087" spans="1:20" x14ac:dyDescent="0.3">
      <c r="A1087" s="13">
        <v>45930</v>
      </c>
      <c r="B1087" s="7" t="s">
        <v>134</v>
      </c>
      <c r="C1087" s="7" t="s">
        <v>24</v>
      </c>
      <c r="D1087" s="7" t="s">
        <v>103</v>
      </c>
      <c r="E1087" s="7" t="s">
        <v>30</v>
      </c>
      <c r="F1087" s="14">
        <v>1432</v>
      </c>
      <c r="G1087" s="15">
        <v>202.83</v>
      </c>
      <c r="H1087" s="16">
        <v>4.3399612890356362E-2</v>
      </c>
      <c r="I1087" s="16">
        <v>2.3221552500541E-2</v>
      </c>
      <c r="J1087" s="15">
        <v>127.97</v>
      </c>
      <c r="K1087" s="14">
        <v>114</v>
      </c>
      <c r="L1087" s="14">
        <v>7</v>
      </c>
      <c r="M1087" s="15">
        <v>5.47</v>
      </c>
      <c r="N1087" s="17">
        <v>290452.56</v>
      </c>
      <c r="O1087" s="17">
        <v>12605.528667013001</v>
      </c>
      <c r="P1087" s="17">
        <v>6452.0394252184178</v>
      </c>
      <c r="Q1087" s="17">
        <v>271394.99190776859</v>
      </c>
      <c r="R1087" s="17">
        <v>183253.04</v>
      </c>
      <c r="S1087" s="17">
        <v>88141.951907768584</v>
      </c>
      <c r="T1087" s="17">
        <v>38.29</v>
      </c>
    </row>
    <row r="1088" spans="1:20" x14ac:dyDescent="0.3">
      <c r="A1088" s="13">
        <v>45930</v>
      </c>
      <c r="B1088" s="7" t="s">
        <v>134</v>
      </c>
      <c r="C1088" s="7" t="s">
        <v>24</v>
      </c>
      <c r="D1088" s="7" t="s">
        <v>104</v>
      </c>
      <c r="E1088" s="7" t="s">
        <v>25</v>
      </c>
      <c r="F1088" s="14">
        <v>2960</v>
      </c>
      <c r="G1088" s="15">
        <v>49.57</v>
      </c>
      <c r="H1088" s="16">
        <v>6.288169069429686E-2</v>
      </c>
      <c r="I1088" s="16">
        <v>3.8616647179836219E-2</v>
      </c>
      <c r="J1088" s="15">
        <v>23.09</v>
      </c>
      <c r="K1088" s="14">
        <v>2016</v>
      </c>
      <c r="L1088" s="14">
        <v>775</v>
      </c>
      <c r="M1088" s="15">
        <v>50.19</v>
      </c>
      <c r="N1088" s="17">
        <v>146727.20000000001</v>
      </c>
      <c r="O1088" s="17">
        <v>9226.4544068402356</v>
      </c>
      <c r="P1088" s="17">
        <v>5309.8177795354713</v>
      </c>
      <c r="Q1088" s="17">
        <v>132190.92781362429</v>
      </c>
      <c r="R1088" s="17">
        <v>68346.399999999994</v>
      </c>
      <c r="S1088" s="17">
        <v>63844.527813624329</v>
      </c>
      <c r="T1088" s="17">
        <v>38897.25</v>
      </c>
    </row>
    <row r="1089" spans="1:20" x14ac:dyDescent="0.3">
      <c r="A1089" s="13">
        <v>45930</v>
      </c>
      <c r="B1089" s="7" t="s">
        <v>134</v>
      </c>
      <c r="C1089" s="7" t="s">
        <v>24</v>
      </c>
      <c r="D1089" s="7" t="s">
        <v>104</v>
      </c>
      <c r="E1089" s="7" t="s">
        <v>28</v>
      </c>
      <c r="F1089" s="14">
        <v>1829</v>
      </c>
      <c r="G1089" s="15">
        <v>45.76</v>
      </c>
      <c r="H1089" s="16">
        <v>8.82341919846861E-2</v>
      </c>
      <c r="I1089" s="16">
        <v>6.4392432653800249E-2</v>
      </c>
      <c r="J1089" s="15">
        <v>22.04</v>
      </c>
      <c r="K1089" s="14">
        <v>1549</v>
      </c>
      <c r="L1089" s="14">
        <v>458</v>
      </c>
      <c r="M1089" s="15">
        <v>12.92</v>
      </c>
      <c r="N1089" s="17">
        <v>83695.039999999994</v>
      </c>
      <c r="O1089" s="17">
        <v>7384.7642275259823</v>
      </c>
      <c r="P1089" s="17">
        <v>4913.804293471957</v>
      </c>
      <c r="Q1089" s="17">
        <v>71396.471479002052</v>
      </c>
      <c r="R1089" s="17">
        <v>40311.160000000003</v>
      </c>
      <c r="S1089" s="17">
        <v>31085.311479002059</v>
      </c>
      <c r="T1089" s="17">
        <v>5917.36</v>
      </c>
    </row>
    <row r="1090" spans="1:20" x14ac:dyDescent="0.3">
      <c r="A1090" s="13">
        <v>45930</v>
      </c>
      <c r="B1090" s="7" t="s">
        <v>134</v>
      </c>
      <c r="C1090" s="7" t="s">
        <v>24</v>
      </c>
      <c r="D1090" s="7" t="s">
        <v>104</v>
      </c>
      <c r="E1090" s="7" t="s">
        <v>30</v>
      </c>
      <c r="F1090" s="14">
        <v>1109</v>
      </c>
      <c r="G1090" s="15">
        <v>41.86</v>
      </c>
      <c r="H1090" s="16">
        <v>3.1105619278025382E-2</v>
      </c>
      <c r="I1090" s="16">
        <v>1.6243272651983151E-2</v>
      </c>
      <c r="J1090" s="15">
        <v>24.42</v>
      </c>
      <c r="K1090" s="14">
        <v>93</v>
      </c>
      <c r="L1090" s="14">
        <v>5</v>
      </c>
      <c r="M1090" s="15">
        <v>5.12</v>
      </c>
      <c r="N1090" s="17">
        <v>46422.74</v>
      </c>
      <c r="O1090" s="17">
        <v>1444.0080762827599</v>
      </c>
      <c r="P1090" s="17">
        <v>730.60180617739763</v>
      </c>
      <c r="Q1090" s="17">
        <v>44248.130117539833</v>
      </c>
      <c r="R1090" s="17">
        <v>27081.78</v>
      </c>
      <c r="S1090" s="17">
        <v>17166.350117539831</v>
      </c>
      <c r="T1090" s="17">
        <v>25.6</v>
      </c>
    </row>
    <row r="1091" spans="1:20" x14ac:dyDescent="0.3">
      <c r="A1091" s="13">
        <v>45930</v>
      </c>
      <c r="B1091" s="7" t="s">
        <v>134</v>
      </c>
      <c r="C1091" s="7" t="s">
        <v>27</v>
      </c>
      <c r="D1091" s="7" t="s">
        <v>102</v>
      </c>
      <c r="E1091" s="7" t="s">
        <v>25</v>
      </c>
      <c r="F1091" s="14">
        <v>7717</v>
      </c>
      <c r="G1091" s="15">
        <v>141.43</v>
      </c>
      <c r="H1091" s="16">
        <v>5.7548157891622147E-2</v>
      </c>
      <c r="I1091" s="16">
        <v>2.0454069955167249E-2</v>
      </c>
      <c r="J1091" s="15">
        <v>76.58</v>
      </c>
      <c r="K1091" s="14">
        <v>5759</v>
      </c>
      <c r="L1091" s="14">
        <v>2097</v>
      </c>
      <c r="M1091" s="15">
        <v>37.07</v>
      </c>
      <c r="N1091" s="17">
        <v>1091415.31</v>
      </c>
      <c r="O1091" s="17">
        <v>62808.940585213742</v>
      </c>
      <c r="P1091" s="17">
        <v>21039.186636340641</v>
      </c>
      <c r="Q1091" s="17">
        <v>1007567.182778446</v>
      </c>
      <c r="R1091" s="17">
        <v>590967.86</v>
      </c>
      <c r="S1091" s="17">
        <v>416599.32277844573</v>
      </c>
      <c r="T1091" s="17">
        <v>77735.789999999994</v>
      </c>
    </row>
    <row r="1092" spans="1:20" x14ac:dyDescent="0.3">
      <c r="A1092" s="13">
        <v>45930</v>
      </c>
      <c r="B1092" s="7" t="s">
        <v>134</v>
      </c>
      <c r="C1092" s="7" t="s">
        <v>27</v>
      </c>
      <c r="D1092" s="7" t="s">
        <v>102</v>
      </c>
      <c r="E1092" s="7" t="s">
        <v>28</v>
      </c>
      <c r="F1092" s="14">
        <v>3297</v>
      </c>
      <c r="G1092" s="15">
        <v>131.09</v>
      </c>
      <c r="H1092" s="16">
        <v>0.1071349515706314</v>
      </c>
      <c r="I1092" s="16">
        <v>5.254024280463495E-2</v>
      </c>
      <c r="J1092" s="15">
        <v>77.98</v>
      </c>
      <c r="K1092" s="14">
        <v>2816</v>
      </c>
      <c r="L1092" s="14">
        <v>826</v>
      </c>
      <c r="M1092" s="15">
        <v>18.53</v>
      </c>
      <c r="N1092" s="17">
        <v>432203.73</v>
      </c>
      <c r="O1092" s="17">
        <v>46304.125682196238</v>
      </c>
      <c r="P1092" s="17">
        <v>20275.258909069969</v>
      </c>
      <c r="Q1092" s="17">
        <v>365624.34540873382</v>
      </c>
      <c r="R1092" s="17">
        <v>257100.06</v>
      </c>
      <c r="S1092" s="17">
        <v>108524.28540873381</v>
      </c>
      <c r="T1092" s="17">
        <v>15305.78</v>
      </c>
    </row>
    <row r="1093" spans="1:20" x14ac:dyDescent="0.3">
      <c r="A1093" s="13">
        <v>45930</v>
      </c>
      <c r="B1093" s="7" t="s">
        <v>134</v>
      </c>
      <c r="C1093" s="7" t="s">
        <v>27</v>
      </c>
      <c r="D1093" s="7" t="s">
        <v>102</v>
      </c>
      <c r="E1093" s="7" t="s">
        <v>30</v>
      </c>
      <c r="F1093" s="14">
        <v>3113</v>
      </c>
      <c r="G1093" s="15">
        <v>112.81</v>
      </c>
      <c r="H1093" s="16">
        <v>4.3473458908414801E-2</v>
      </c>
      <c r="I1093" s="16">
        <v>1.9678311763104171E-2</v>
      </c>
      <c r="J1093" s="15">
        <v>76.239999999999995</v>
      </c>
      <c r="K1093" s="14">
        <v>269</v>
      </c>
      <c r="L1093" s="14">
        <v>15</v>
      </c>
      <c r="M1093" s="15">
        <v>5.91</v>
      </c>
      <c r="N1093" s="17">
        <v>351177.53</v>
      </c>
      <c r="O1093" s="17">
        <v>15266.90192001361</v>
      </c>
      <c r="P1093" s="17">
        <v>6610.154063898106</v>
      </c>
      <c r="Q1093" s="17">
        <v>329300.47401608841</v>
      </c>
      <c r="R1093" s="17">
        <v>237335.12</v>
      </c>
      <c r="S1093" s="17">
        <v>91965.354016088357</v>
      </c>
      <c r="T1093" s="17">
        <v>88.65</v>
      </c>
    </row>
    <row r="1094" spans="1:20" x14ac:dyDescent="0.3">
      <c r="A1094" s="13">
        <v>45930</v>
      </c>
      <c r="B1094" s="7" t="s">
        <v>134</v>
      </c>
      <c r="C1094" s="7" t="s">
        <v>27</v>
      </c>
      <c r="D1094" s="7" t="s">
        <v>103</v>
      </c>
      <c r="E1094" s="7" t="s">
        <v>25</v>
      </c>
      <c r="F1094" s="14">
        <v>3094</v>
      </c>
      <c r="G1094" s="15">
        <v>257.5</v>
      </c>
      <c r="H1094" s="16">
        <v>7.4116670869252985E-2</v>
      </c>
      <c r="I1094" s="16">
        <v>3.2119523767669918E-2</v>
      </c>
      <c r="J1094" s="15">
        <v>135.12</v>
      </c>
      <c r="K1094" s="14">
        <v>2138</v>
      </c>
      <c r="L1094" s="14">
        <v>850</v>
      </c>
      <c r="M1094" s="15">
        <v>40.26</v>
      </c>
      <c r="N1094" s="17">
        <v>796705</v>
      </c>
      <c r="O1094" s="17">
        <v>59049.122264888203</v>
      </c>
      <c r="P1094" s="17">
        <v>23693.15549727434</v>
      </c>
      <c r="Q1094" s="17">
        <v>713962.7222378375</v>
      </c>
      <c r="R1094" s="17">
        <v>418061.28</v>
      </c>
      <c r="S1094" s="17">
        <v>295901.44223783747</v>
      </c>
      <c r="T1094" s="17">
        <v>34221</v>
      </c>
    </row>
    <row r="1095" spans="1:20" x14ac:dyDescent="0.3">
      <c r="A1095" s="13">
        <v>45930</v>
      </c>
      <c r="B1095" s="7" t="s">
        <v>134</v>
      </c>
      <c r="C1095" s="7" t="s">
        <v>27</v>
      </c>
      <c r="D1095" s="7" t="s">
        <v>103</v>
      </c>
      <c r="E1095" s="7" t="s">
        <v>28</v>
      </c>
      <c r="F1095" s="14">
        <v>1061</v>
      </c>
      <c r="G1095" s="15">
        <v>251.41</v>
      </c>
      <c r="H1095" s="16">
        <v>8.768480939475877E-2</v>
      </c>
      <c r="I1095" s="16">
        <v>4.8979933594847112E-2</v>
      </c>
      <c r="J1095" s="15">
        <v>136.31</v>
      </c>
      <c r="K1095" s="14">
        <v>872</v>
      </c>
      <c r="L1095" s="14">
        <v>280</v>
      </c>
      <c r="M1095" s="15">
        <v>21.83</v>
      </c>
      <c r="N1095" s="17">
        <v>266746.01</v>
      </c>
      <c r="O1095" s="17">
        <v>23389.573043662422</v>
      </c>
      <c r="P1095" s="17">
        <v>11919.582122000011</v>
      </c>
      <c r="Q1095" s="17">
        <v>231436.8548343376</v>
      </c>
      <c r="R1095" s="17">
        <v>144624.91</v>
      </c>
      <c r="S1095" s="17">
        <v>86811.94483433757</v>
      </c>
      <c r="T1095" s="17">
        <v>6112.4</v>
      </c>
    </row>
    <row r="1096" spans="1:20" x14ac:dyDescent="0.3">
      <c r="A1096" s="13">
        <v>45930</v>
      </c>
      <c r="B1096" s="7" t="s">
        <v>134</v>
      </c>
      <c r="C1096" s="7" t="s">
        <v>27</v>
      </c>
      <c r="D1096" s="7" t="s">
        <v>103</v>
      </c>
      <c r="E1096" s="7" t="s">
        <v>30</v>
      </c>
      <c r="F1096" s="14">
        <v>882</v>
      </c>
      <c r="G1096" s="15">
        <v>216.51</v>
      </c>
      <c r="H1096" s="16">
        <v>3.8205585488619673E-2</v>
      </c>
      <c r="I1096" s="16">
        <v>2.3396469099911749E-2</v>
      </c>
      <c r="J1096" s="15">
        <v>129.69</v>
      </c>
      <c r="K1096" s="14">
        <v>70</v>
      </c>
      <c r="L1096" s="14">
        <v>4</v>
      </c>
      <c r="M1096" s="15">
        <v>3.1</v>
      </c>
      <c r="N1096" s="17">
        <v>190961.82</v>
      </c>
      <c r="O1096" s="17">
        <v>7295.808139072401</v>
      </c>
      <c r="P1096" s="17">
        <v>4297.1361712082162</v>
      </c>
      <c r="Q1096" s="17">
        <v>179368.87568971931</v>
      </c>
      <c r="R1096" s="17">
        <v>114386.58</v>
      </c>
      <c r="S1096" s="17">
        <v>64982.295689719343</v>
      </c>
      <c r="T1096" s="17">
        <v>12.4</v>
      </c>
    </row>
    <row r="1097" spans="1:20" x14ac:dyDescent="0.3">
      <c r="A1097" s="13">
        <v>45930</v>
      </c>
      <c r="B1097" s="7" t="s">
        <v>134</v>
      </c>
      <c r="C1097" s="7" t="s">
        <v>27</v>
      </c>
      <c r="D1097" s="7" t="s">
        <v>104</v>
      </c>
      <c r="E1097" s="7" t="s">
        <v>25</v>
      </c>
      <c r="F1097" s="14">
        <v>2217</v>
      </c>
      <c r="G1097" s="15">
        <v>51.63</v>
      </c>
      <c r="H1097" s="16">
        <v>4.365915921709064E-2</v>
      </c>
      <c r="I1097" s="16">
        <v>3.4859111956321021E-2</v>
      </c>
      <c r="J1097" s="15">
        <v>24.95</v>
      </c>
      <c r="K1097" s="14">
        <v>1533</v>
      </c>
      <c r="L1097" s="14">
        <v>573</v>
      </c>
      <c r="M1097" s="15">
        <v>39.24</v>
      </c>
      <c r="N1097" s="17">
        <v>114463.71</v>
      </c>
      <c r="O1097" s="17">
        <v>4997.3893394688903</v>
      </c>
      <c r="P1097" s="17">
        <v>3815.8987273519911</v>
      </c>
      <c r="Q1097" s="17">
        <v>105650.4219331791</v>
      </c>
      <c r="R1097" s="17">
        <v>55314.15</v>
      </c>
      <c r="S1097" s="17">
        <v>50336.271933179123</v>
      </c>
      <c r="T1097" s="17">
        <v>22484.52</v>
      </c>
    </row>
    <row r="1098" spans="1:20" x14ac:dyDescent="0.3">
      <c r="A1098" s="13">
        <v>45930</v>
      </c>
      <c r="B1098" s="7" t="s">
        <v>134</v>
      </c>
      <c r="C1098" s="7" t="s">
        <v>27</v>
      </c>
      <c r="D1098" s="7" t="s">
        <v>104</v>
      </c>
      <c r="E1098" s="7" t="s">
        <v>28</v>
      </c>
      <c r="F1098" s="14">
        <v>1347</v>
      </c>
      <c r="G1098" s="15">
        <v>50.6</v>
      </c>
      <c r="H1098" s="16">
        <v>9.8573850156571982E-2</v>
      </c>
      <c r="I1098" s="16">
        <v>6.6002544078007458E-2</v>
      </c>
      <c r="J1098" s="15">
        <v>22.83</v>
      </c>
      <c r="K1098" s="14">
        <v>1086</v>
      </c>
      <c r="L1098" s="14">
        <v>303</v>
      </c>
      <c r="M1098" s="15">
        <v>15.19</v>
      </c>
      <c r="N1098" s="17">
        <v>68158.2</v>
      </c>
      <c r="O1098" s="17">
        <v>6718.6161937416646</v>
      </c>
      <c r="P1098" s="17">
        <v>4055.1688383069991</v>
      </c>
      <c r="Q1098" s="17">
        <v>57384.414967951343</v>
      </c>
      <c r="R1098" s="17">
        <v>30752.01</v>
      </c>
      <c r="S1098" s="17">
        <v>26632.404967951341</v>
      </c>
      <c r="T1098" s="17">
        <v>4602.57</v>
      </c>
    </row>
    <row r="1099" spans="1:20" x14ac:dyDescent="0.3">
      <c r="A1099" s="13">
        <v>45930</v>
      </c>
      <c r="B1099" s="7" t="s">
        <v>134</v>
      </c>
      <c r="C1099" s="7" t="s">
        <v>27</v>
      </c>
      <c r="D1099" s="7" t="s">
        <v>104</v>
      </c>
      <c r="E1099" s="7" t="s">
        <v>30</v>
      </c>
      <c r="F1099" s="14">
        <v>866</v>
      </c>
      <c r="G1099" s="15">
        <v>43.76</v>
      </c>
      <c r="H1099" s="16">
        <v>4.1984702839229407E-2</v>
      </c>
      <c r="I1099" s="16">
        <v>2.042432729180552E-2</v>
      </c>
      <c r="J1099" s="15">
        <v>24.79</v>
      </c>
      <c r="K1099" s="14">
        <v>74</v>
      </c>
      <c r="L1099" s="14">
        <v>5</v>
      </c>
      <c r="M1099" s="15">
        <v>5.28</v>
      </c>
      <c r="N1099" s="17">
        <v>37896.160000000003</v>
      </c>
      <c r="O1099" s="17">
        <v>1591.0590163478921</v>
      </c>
      <c r="P1099" s="17">
        <v>741.50726485216126</v>
      </c>
      <c r="Q1099" s="17">
        <v>35563.593718799937</v>
      </c>
      <c r="R1099" s="17">
        <v>21468.14</v>
      </c>
      <c r="S1099" s="17">
        <v>14095.453718799939</v>
      </c>
      <c r="T1099" s="17">
        <v>26.4</v>
      </c>
    </row>
    <row r="1100" spans="1:20" x14ac:dyDescent="0.3">
      <c r="A1100" s="13">
        <v>45930</v>
      </c>
      <c r="B1100" s="7" t="s">
        <v>134</v>
      </c>
      <c r="C1100" s="7" t="s">
        <v>29</v>
      </c>
      <c r="D1100" s="7" t="s">
        <v>102</v>
      </c>
      <c r="E1100" s="7" t="s">
        <v>25</v>
      </c>
      <c r="F1100" s="14">
        <v>5232</v>
      </c>
      <c r="G1100" s="15">
        <v>126.23</v>
      </c>
      <c r="H1100" s="16">
        <v>6.2407278500082548E-2</v>
      </c>
      <c r="I1100" s="16">
        <v>4.3808264183452537E-2</v>
      </c>
      <c r="J1100" s="15">
        <v>75.77</v>
      </c>
      <c r="K1100" s="14">
        <v>3570</v>
      </c>
      <c r="L1100" s="14">
        <v>1363</v>
      </c>
      <c r="M1100" s="15">
        <v>33.53</v>
      </c>
      <c r="N1100" s="17">
        <v>660435.36</v>
      </c>
      <c r="O1100" s="17">
        <v>41215.97344282228</v>
      </c>
      <c r="P1100" s="17">
        <v>27126.926473812258</v>
      </c>
      <c r="Q1100" s="17">
        <v>592092.46008336544</v>
      </c>
      <c r="R1100" s="17">
        <v>396428.64</v>
      </c>
      <c r="S1100" s="17">
        <v>195663.82008336551</v>
      </c>
      <c r="T1100" s="17">
        <v>45701.39</v>
      </c>
    </row>
    <row r="1101" spans="1:20" x14ac:dyDescent="0.3">
      <c r="A1101" s="13">
        <v>45930</v>
      </c>
      <c r="B1101" s="7" t="s">
        <v>134</v>
      </c>
      <c r="C1101" s="7" t="s">
        <v>29</v>
      </c>
      <c r="D1101" s="7" t="s">
        <v>102</v>
      </c>
      <c r="E1101" s="7" t="s">
        <v>28</v>
      </c>
      <c r="F1101" s="14">
        <v>2091</v>
      </c>
      <c r="G1101" s="15">
        <v>114.07</v>
      </c>
      <c r="H1101" s="16">
        <v>9.4533938073720944E-2</v>
      </c>
      <c r="I1101" s="16">
        <v>6.7745950016798673E-2</v>
      </c>
      <c r="J1101" s="15">
        <v>70.12</v>
      </c>
      <c r="K1101" s="14">
        <v>1804</v>
      </c>
      <c r="L1101" s="14">
        <v>497</v>
      </c>
      <c r="M1101" s="15">
        <v>16.760000000000002</v>
      </c>
      <c r="N1101" s="17">
        <v>238520.37</v>
      </c>
      <c r="O1101" s="17">
        <v>22548.269886901009</v>
      </c>
      <c r="P1101" s="17">
        <v>14631.235099285041</v>
      </c>
      <c r="Q1101" s="17">
        <v>201340.86501381389</v>
      </c>
      <c r="R1101" s="17">
        <v>146620.92000000001</v>
      </c>
      <c r="S1101" s="17">
        <v>54719.945013813907</v>
      </c>
      <c r="T1101" s="17">
        <v>8329.7200000000012</v>
      </c>
    </row>
    <row r="1102" spans="1:20" x14ac:dyDescent="0.3">
      <c r="A1102" s="13">
        <v>45930</v>
      </c>
      <c r="B1102" s="7" t="s">
        <v>134</v>
      </c>
      <c r="C1102" s="7" t="s">
        <v>29</v>
      </c>
      <c r="D1102" s="7" t="s">
        <v>102</v>
      </c>
      <c r="E1102" s="7" t="s">
        <v>30</v>
      </c>
      <c r="F1102" s="14">
        <v>1686</v>
      </c>
      <c r="G1102" s="15">
        <v>104.08</v>
      </c>
      <c r="H1102" s="16">
        <v>3.9885266920877752E-2</v>
      </c>
      <c r="I1102" s="16">
        <v>1.7270190364425359E-2</v>
      </c>
      <c r="J1102" s="15">
        <v>69.89</v>
      </c>
      <c r="K1102" s="14">
        <v>138</v>
      </c>
      <c r="L1102" s="14">
        <v>9</v>
      </c>
      <c r="M1102" s="15">
        <v>6.28</v>
      </c>
      <c r="N1102" s="17">
        <v>175478.88</v>
      </c>
      <c r="O1102" s="17">
        <v>6999.0219677766763</v>
      </c>
      <c r="P1102" s="17">
        <v>2909.6792207878561</v>
      </c>
      <c r="Q1102" s="17">
        <v>165570.1788114355</v>
      </c>
      <c r="R1102" s="17">
        <v>117834.54</v>
      </c>
      <c r="S1102" s="17">
        <v>47735.638811435463</v>
      </c>
      <c r="T1102" s="17">
        <v>56.52</v>
      </c>
    </row>
    <row r="1103" spans="1:20" x14ac:dyDescent="0.3">
      <c r="A1103" s="13">
        <v>45930</v>
      </c>
      <c r="B1103" s="7" t="s">
        <v>134</v>
      </c>
      <c r="C1103" s="7" t="s">
        <v>29</v>
      </c>
      <c r="D1103" s="7" t="s">
        <v>103</v>
      </c>
      <c r="E1103" s="7" t="s">
        <v>25</v>
      </c>
      <c r="F1103" s="14">
        <v>2615</v>
      </c>
      <c r="G1103" s="15">
        <v>228.25</v>
      </c>
      <c r="H1103" s="16">
        <v>5.7416014456238923E-2</v>
      </c>
      <c r="I1103" s="16">
        <v>4.4352115282896017E-2</v>
      </c>
      <c r="J1103" s="15">
        <v>122.09</v>
      </c>
      <c r="K1103" s="14">
        <v>1752</v>
      </c>
      <c r="L1103" s="14">
        <v>695</v>
      </c>
      <c r="M1103" s="15">
        <v>30.02</v>
      </c>
      <c r="N1103" s="17">
        <v>596873.75</v>
      </c>
      <c r="O1103" s="17">
        <v>34270.111858549542</v>
      </c>
      <c r="P1103" s="17">
        <v>24952.66141742633</v>
      </c>
      <c r="Q1103" s="17">
        <v>537650.97672402416</v>
      </c>
      <c r="R1103" s="17">
        <v>319265.34999999998</v>
      </c>
      <c r="S1103" s="17">
        <v>218385.6267240241</v>
      </c>
      <c r="T1103" s="17">
        <v>20863.900000000001</v>
      </c>
    </row>
    <row r="1104" spans="1:20" x14ac:dyDescent="0.3">
      <c r="A1104" s="13">
        <v>45930</v>
      </c>
      <c r="B1104" s="7" t="s">
        <v>134</v>
      </c>
      <c r="C1104" s="7" t="s">
        <v>29</v>
      </c>
      <c r="D1104" s="7" t="s">
        <v>103</v>
      </c>
      <c r="E1104" s="7" t="s">
        <v>28</v>
      </c>
      <c r="F1104" s="14">
        <v>1092</v>
      </c>
      <c r="G1104" s="15">
        <v>224.98</v>
      </c>
      <c r="H1104" s="16">
        <v>7.9816975209803562E-2</v>
      </c>
      <c r="I1104" s="16">
        <v>3.5023120555439338E-2</v>
      </c>
      <c r="J1104" s="15">
        <v>117.37</v>
      </c>
      <c r="K1104" s="14">
        <v>892</v>
      </c>
      <c r="L1104" s="14">
        <v>278</v>
      </c>
      <c r="M1104" s="15">
        <v>17.510000000000002</v>
      </c>
      <c r="N1104" s="17">
        <v>245678.16</v>
      </c>
      <c r="O1104" s="17">
        <v>19609.28760631015</v>
      </c>
      <c r="P1104" s="17">
        <v>7917.6373716764301</v>
      </c>
      <c r="Q1104" s="17">
        <v>218151.2350220134</v>
      </c>
      <c r="R1104" s="17">
        <v>128168.04</v>
      </c>
      <c r="S1104" s="17">
        <v>89983.195022013388</v>
      </c>
      <c r="T1104" s="17">
        <v>4867.7800000000007</v>
      </c>
    </row>
    <row r="1105" spans="1:20" x14ac:dyDescent="0.3">
      <c r="A1105" s="13">
        <v>45930</v>
      </c>
      <c r="B1105" s="7" t="s">
        <v>134</v>
      </c>
      <c r="C1105" s="7" t="s">
        <v>29</v>
      </c>
      <c r="D1105" s="7" t="s">
        <v>103</v>
      </c>
      <c r="E1105" s="7" t="s">
        <v>30</v>
      </c>
      <c r="F1105" s="14">
        <v>759</v>
      </c>
      <c r="G1105" s="15">
        <v>179.98</v>
      </c>
      <c r="H1105" s="16">
        <v>2.9110697023111559E-2</v>
      </c>
      <c r="I1105" s="16">
        <v>2.1479666201730471E-2</v>
      </c>
      <c r="J1105" s="15">
        <v>125.37</v>
      </c>
      <c r="K1105" s="14">
        <v>64</v>
      </c>
      <c r="L1105" s="14">
        <v>4</v>
      </c>
      <c r="M1105" s="15">
        <v>4.62</v>
      </c>
      <c r="N1105" s="17">
        <v>136604.82</v>
      </c>
      <c r="O1105" s="17">
        <v>3976.66152691669</v>
      </c>
      <c r="P1105" s="17">
        <v>2848.8085729520399</v>
      </c>
      <c r="Q1105" s="17">
        <v>129779.3499001312</v>
      </c>
      <c r="R1105" s="17">
        <v>95155.83</v>
      </c>
      <c r="S1105" s="17">
        <v>34623.519900131243</v>
      </c>
      <c r="T1105" s="17">
        <v>18.48</v>
      </c>
    </row>
    <row r="1106" spans="1:20" x14ac:dyDescent="0.3">
      <c r="A1106" s="13">
        <v>45930</v>
      </c>
      <c r="B1106" s="7" t="s">
        <v>134</v>
      </c>
      <c r="C1106" s="7" t="s">
        <v>29</v>
      </c>
      <c r="D1106" s="7" t="s">
        <v>104</v>
      </c>
      <c r="E1106" s="7" t="s">
        <v>25</v>
      </c>
      <c r="F1106" s="14">
        <v>1395</v>
      </c>
      <c r="G1106" s="15">
        <v>47.09</v>
      </c>
      <c r="H1106" s="16">
        <v>5.2372734984914418E-2</v>
      </c>
      <c r="I1106" s="16">
        <v>4.0445521655711511E-2</v>
      </c>
      <c r="J1106" s="15">
        <v>21.95</v>
      </c>
      <c r="K1106" s="14">
        <v>980</v>
      </c>
      <c r="L1106" s="14">
        <v>401</v>
      </c>
      <c r="M1106" s="15">
        <v>38.090000000000003</v>
      </c>
      <c r="N1106" s="17">
        <v>65690.55</v>
      </c>
      <c r="O1106" s="17">
        <v>3440.3937661632699</v>
      </c>
      <c r="P1106" s="17">
        <v>2517.7400420270692</v>
      </c>
      <c r="Q1106" s="17">
        <v>59732.416191809672</v>
      </c>
      <c r="R1106" s="17">
        <v>30620.25</v>
      </c>
      <c r="S1106" s="17">
        <v>29112.166191809669</v>
      </c>
      <c r="T1106" s="17">
        <v>15274.09</v>
      </c>
    </row>
    <row r="1107" spans="1:20" x14ac:dyDescent="0.3">
      <c r="A1107" s="13">
        <v>45930</v>
      </c>
      <c r="B1107" s="7" t="s">
        <v>134</v>
      </c>
      <c r="C1107" s="7" t="s">
        <v>29</v>
      </c>
      <c r="D1107" s="7" t="s">
        <v>104</v>
      </c>
      <c r="E1107" s="7" t="s">
        <v>28</v>
      </c>
      <c r="F1107" s="14">
        <v>867</v>
      </c>
      <c r="G1107" s="15">
        <v>44.47</v>
      </c>
      <c r="H1107" s="16">
        <v>8.5503857116830437E-2</v>
      </c>
      <c r="I1107" s="16">
        <v>5.586156417839739E-2</v>
      </c>
      <c r="J1107" s="15">
        <v>22.05</v>
      </c>
      <c r="K1107" s="14">
        <v>671</v>
      </c>
      <c r="L1107" s="14">
        <v>198</v>
      </c>
      <c r="M1107" s="15">
        <v>19.84</v>
      </c>
      <c r="N1107" s="17">
        <v>38555.49</v>
      </c>
      <c r="O1107" s="17">
        <v>3296.6431080293851</v>
      </c>
      <c r="P1107" s="17">
        <v>1969.614338512104</v>
      </c>
      <c r="Q1107" s="17">
        <v>33289.232553458511</v>
      </c>
      <c r="R1107" s="17">
        <v>19117.349999999999</v>
      </c>
      <c r="S1107" s="17">
        <v>14171.88255345851</v>
      </c>
      <c r="T1107" s="17">
        <v>3928.32</v>
      </c>
    </row>
    <row r="1108" spans="1:20" x14ac:dyDescent="0.3">
      <c r="A1108" s="13">
        <v>45930</v>
      </c>
      <c r="B1108" s="7" t="s">
        <v>134</v>
      </c>
      <c r="C1108" s="7" t="s">
        <v>29</v>
      </c>
      <c r="D1108" s="7" t="s">
        <v>104</v>
      </c>
      <c r="E1108" s="7" t="s">
        <v>30</v>
      </c>
      <c r="F1108" s="14">
        <v>608</v>
      </c>
      <c r="G1108" s="15">
        <v>39.29</v>
      </c>
      <c r="H1108" s="16">
        <v>3.7678423320400313E-2</v>
      </c>
      <c r="I1108" s="16">
        <v>2.8689924925617599E-2</v>
      </c>
      <c r="J1108" s="15">
        <v>23.19</v>
      </c>
      <c r="K1108" s="14">
        <v>46</v>
      </c>
      <c r="L1108" s="14">
        <v>3</v>
      </c>
      <c r="M1108" s="15">
        <v>5.3</v>
      </c>
      <c r="N1108" s="17">
        <v>23888.32</v>
      </c>
      <c r="O1108" s="17">
        <v>900.07423337318517</v>
      </c>
      <c r="P1108" s="17">
        <v>659.5310452161699</v>
      </c>
      <c r="Q1108" s="17">
        <v>22328.714721410641</v>
      </c>
      <c r="R1108" s="17">
        <v>14099.52</v>
      </c>
      <c r="S1108" s="17">
        <v>8229.194721410644</v>
      </c>
      <c r="T1108" s="17">
        <v>15.9</v>
      </c>
    </row>
    <row r="1109" spans="1:20" x14ac:dyDescent="0.3">
      <c r="A1109" s="13">
        <v>45930</v>
      </c>
      <c r="B1109" s="7" t="s">
        <v>134</v>
      </c>
      <c r="C1109" s="7" t="s">
        <v>31</v>
      </c>
      <c r="D1109" s="7" t="s">
        <v>102</v>
      </c>
      <c r="E1109" s="7" t="s">
        <v>25</v>
      </c>
      <c r="F1109" s="14">
        <v>2297</v>
      </c>
      <c r="G1109" s="15">
        <v>114.66</v>
      </c>
      <c r="H1109" s="16">
        <v>6.4777804458604343E-2</v>
      </c>
      <c r="I1109" s="16">
        <v>3.0641687702094349E-2</v>
      </c>
      <c r="J1109" s="15">
        <v>68.33</v>
      </c>
      <c r="K1109" s="14">
        <v>1580</v>
      </c>
      <c r="L1109" s="14">
        <v>591</v>
      </c>
      <c r="M1109" s="15">
        <v>25.53</v>
      </c>
      <c r="N1109" s="17">
        <v>263374.02</v>
      </c>
      <c r="O1109" s="17">
        <v>17060.790767036549</v>
      </c>
      <c r="P1109" s="17">
        <v>7547.4530470508416</v>
      </c>
      <c r="Q1109" s="17">
        <v>238765.7761859126</v>
      </c>
      <c r="R1109" s="17">
        <v>156954.01</v>
      </c>
      <c r="S1109" s="17">
        <v>81811.766185912624</v>
      </c>
      <c r="T1109" s="17">
        <v>15088.23</v>
      </c>
    </row>
    <row r="1110" spans="1:20" x14ac:dyDescent="0.3">
      <c r="A1110" s="13">
        <v>45930</v>
      </c>
      <c r="B1110" s="7" t="s">
        <v>134</v>
      </c>
      <c r="C1110" s="7" t="s">
        <v>31</v>
      </c>
      <c r="D1110" s="7" t="s">
        <v>102</v>
      </c>
      <c r="E1110" s="7" t="s">
        <v>28</v>
      </c>
      <c r="F1110" s="14">
        <v>1544</v>
      </c>
      <c r="G1110" s="15">
        <v>105.73</v>
      </c>
      <c r="H1110" s="16">
        <v>9.8415121059110183E-2</v>
      </c>
      <c r="I1110" s="16">
        <v>5.8251429803200069E-2</v>
      </c>
      <c r="J1110" s="15">
        <v>71.06</v>
      </c>
      <c r="K1110" s="14">
        <v>1314</v>
      </c>
      <c r="L1110" s="14">
        <v>401</v>
      </c>
      <c r="M1110" s="15">
        <v>14.84</v>
      </c>
      <c r="N1110" s="17">
        <v>163247.12</v>
      </c>
      <c r="O1110" s="17">
        <v>16065.98507735109</v>
      </c>
      <c r="P1110" s="17">
        <v>8573.5115493020003</v>
      </c>
      <c r="Q1110" s="17">
        <v>138607.6233733469</v>
      </c>
      <c r="R1110" s="17">
        <v>109716.64</v>
      </c>
      <c r="S1110" s="17">
        <v>28890.983373346899</v>
      </c>
      <c r="T1110" s="17">
        <v>5950.84</v>
      </c>
    </row>
    <row r="1111" spans="1:20" x14ac:dyDescent="0.3">
      <c r="A1111" s="13">
        <v>45930</v>
      </c>
      <c r="B1111" s="7" t="s">
        <v>134</v>
      </c>
      <c r="C1111" s="7" t="s">
        <v>31</v>
      </c>
      <c r="D1111" s="7" t="s">
        <v>102</v>
      </c>
      <c r="E1111" s="7" t="s">
        <v>30</v>
      </c>
      <c r="F1111" s="14">
        <v>880</v>
      </c>
      <c r="G1111" s="15">
        <v>96.47</v>
      </c>
      <c r="H1111" s="16">
        <v>3.0773753148819988E-2</v>
      </c>
      <c r="I1111" s="16">
        <v>2.282388132157075E-2</v>
      </c>
      <c r="J1111" s="15">
        <v>72.06</v>
      </c>
      <c r="K1111" s="14">
        <v>72</v>
      </c>
      <c r="L1111" s="14">
        <v>4</v>
      </c>
      <c r="M1111" s="15">
        <v>4.21</v>
      </c>
      <c r="N1111" s="17">
        <v>84893.6</v>
      </c>
      <c r="O1111" s="17">
        <v>2612.4946903146651</v>
      </c>
      <c r="P1111" s="17">
        <v>1877.9741825959229</v>
      </c>
      <c r="Q1111" s="17">
        <v>80403.131127089422</v>
      </c>
      <c r="R1111" s="17">
        <v>63412.800000000003</v>
      </c>
      <c r="S1111" s="17">
        <v>16990.331127089419</v>
      </c>
      <c r="T1111" s="17">
        <v>16.84</v>
      </c>
    </row>
    <row r="1112" spans="1:20" x14ac:dyDescent="0.3">
      <c r="A1112" s="13">
        <v>45930</v>
      </c>
      <c r="B1112" s="7" t="s">
        <v>134</v>
      </c>
      <c r="C1112" s="7" t="s">
        <v>31</v>
      </c>
      <c r="D1112" s="7" t="s">
        <v>103</v>
      </c>
      <c r="E1112" s="7" t="s">
        <v>25</v>
      </c>
      <c r="F1112" s="14">
        <v>922</v>
      </c>
      <c r="G1112" s="15">
        <v>210.99</v>
      </c>
      <c r="H1112" s="16">
        <v>6.3902062141726904E-2</v>
      </c>
      <c r="I1112" s="16">
        <v>5.7629796525373991E-2</v>
      </c>
      <c r="J1112" s="15">
        <v>119.2</v>
      </c>
      <c r="K1112" s="14">
        <v>630</v>
      </c>
      <c r="L1112" s="14">
        <v>243</v>
      </c>
      <c r="M1112" s="15">
        <v>22.12</v>
      </c>
      <c r="N1112" s="17">
        <v>194532.78</v>
      </c>
      <c r="O1112" s="17">
        <v>12431.045796162891</v>
      </c>
      <c r="P1112" s="17">
        <v>10494.48588908487</v>
      </c>
      <c r="Q1112" s="17">
        <v>171607.24831475221</v>
      </c>
      <c r="R1112" s="17">
        <v>109902.39999999999</v>
      </c>
      <c r="S1112" s="17">
        <v>61704.848314752227</v>
      </c>
      <c r="T1112" s="17">
        <v>5375.16</v>
      </c>
    </row>
    <row r="1113" spans="1:20" x14ac:dyDescent="0.3">
      <c r="A1113" s="13">
        <v>45930</v>
      </c>
      <c r="B1113" s="7" t="s">
        <v>134</v>
      </c>
      <c r="C1113" s="7" t="s">
        <v>31</v>
      </c>
      <c r="D1113" s="7" t="s">
        <v>103</v>
      </c>
      <c r="E1113" s="7" t="s">
        <v>28</v>
      </c>
      <c r="F1113" s="14">
        <v>563</v>
      </c>
      <c r="G1113" s="15">
        <v>193.68</v>
      </c>
      <c r="H1113" s="16">
        <v>8.8327453096324782E-2</v>
      </c>
      <c r="I1113" s="16">
        <v>4.3222147736825513E-2</v>
      </c>
      <c r="J1113" s="15">
        <v>123.38</v>
      </c>
      <c r="K1113" s="14">
        <v>501</v>
      </c>
      <c r="L1113" s="14">
        <v>154</v>
      </c>
      <c r="M1113" s="15">
        <v>13.62</v>
      </c>
      <c r="N1113" s="17">
        <v>109041.84</v>
      </c>
      <c r="O1113" s="17">
        <v>9631.3880081369516</v>
      </c>
      <c r="P1113" s="17">
        <v>4296.7332425769046</v>
      </c>
      <c r="Q1113" s="17">
        <v>95113.718749286156</v>
      </c>
      <c r="R1113" s="17">
        <v>69462.94</v>
      </c>
      <c r="S1113" s="17">
        <v>25650.77874928615</v>
      </c>
      <c r="T1113" s="17">
        <v>2097.48</v>
      </c>
    </row>
    <row r="1114" spans="1:20" x14ac:dyDescent="0.3">
      <c r="A1114" s="13">
        <v>45930</v>
      </c>
      <c r="B1114" s="7" t="s">
        <v>134</v>
      </c>
      <c r="C1114" s="7" t="s">
        <v>31</v>
      </c>
      <c r="D1114" s="7" t="s">
        <v>103</v>
      </c>
      <c r="E1114" s="7" t="s">
        <v>30</v>
      </c>
      <c r="F1114" s="14">
        <v>368</v>
      </c>
      <c r="G1114" s="15">
        <v>172.09</v>
      </c>
      <c r="H1114" s="16">
        <v>4.1060572619501592E-2</v>
      </c>
      <c r="I1114" s="16">
        <v>2.0111752774831831E-2</v>
      </c>
      <c r="J1114" s="15">
        <v>117.46</v>
      </c>
      <c r="K1114" s="14">
        <v>29</v>
      </c>
      <c r="L1114" s="14">
        <v>2</v>
      </c>
      <c r="M1114" s="15">
        <v>5.56</v>
      </c>
      <c r="N1114" s="17">
        <v>63329.120000000003</v>
      </c>
      <c r="O1114" s="17">
        <v>2600.3299306891299</v>
      </c>
      <c r="P1114" s="17">
        <v>1221.362412188643</v>
      </c>
      <c r="Q1114" s="17">
        <v>59507.427657122229</v>
      </c>
      <c r="R1114" s="17">
        <v>43225.279999999999</v>
      </c>
      <c r="S1114" s="17">
        <v>16282.14765712223</v>
      </c>
      <c r="T1114" s="17">
        <v>11.12</v>
      </c>
    </row>
    <row r="1115" spans="1:20" x14ac:dyDescent="0.3">
      <c r="A1115" s="13">
        <v>45930</v>
      </c>
      <c r="B1115" s="7" t="s">
        <v>134</v>
      </c>
      <c r="C1115" s="7" t="s">
        <v>31</v>
      </c>
      <c r="D1115" s="7" t="s">
        <v>104</v>
      </c>
      <c r="E1115" s="7" t="s">
        <v>25</v>
      </c>
      <c r="F1115" s="14">
        <v>847</v>
      </c>
      <c r="G1115" s="15">
        <v>43.84</v>
      </c>
      <c r="H1115" s="16">
        <v>5.8620655019406248E-2</v>
      </c>
      <c r="I1115" s="16">
        <v>5.4152045267018237E-2</v>
      </c>
      <c r="J1115" s="15">
        <v>23.42</v>
      </c>
      <c r="K1115" s="14">
        <v>561</v>
      </c>
      <c r="L1115" s="14">
        <v>242</v>
      </c>
      <c r="M1115" s="15">
        <v>31.16</v>
      </c>
      <c r="N1115" s="17">
        <v>37132.480000000003</v>
      </c>
      <c r="O1115" s="17">
        <v>2176.7303000950019</v>
      </c>
      <c r="P1115" s="17">
        <v>1892.9253400918151</v>
      </c>
      <c r="Q1115" s="17">
        <v>33062.824359813181</v>
      </c>
      <c r="R1115" s="17">
        <v>19836.740000000002</v>
      </c>
      <c r="S1115" s="17">
        <v>13226.08435981318</v>
      </c>
      <c r="T1115" s="17">
        <v>7540.72</v>
      </c>
    </row>
    <row r="1116" spans="1:20" x14ac:dyDescent="0.3">
      <c r="A1116" s="13">
        <v>45930</v>
      </c>
      <c r="B1116" s="7" t="s">
        <v>134</v>
      </c>
      <c r="C1116" s="7" t="s">
        <v>31</v>
      </c>
      <c r="D1116" s="7" t="s">
        <v>104</v>
      </c>
      <c r="E1116" s="7" t="s">
        <v>28</v>
      </c>
      <c r="F1116" s="14">
        <v>414</v>
      </c>
      <c r="G1116" s="15">
        <v>40.520000000000003</v>
      </c>
      <c r="H1116" s="16">
        <v>9.2495164953892317E-2</v>
      </c>
      <c r="I1116" s="16">
        <v>6.499140717955515E-2</v>
      </c>
      <c r="J1116" s="15">
        <v>22.56</v>
      </c>
      <c r="K1116" s="14">
        <v>331</v>
      </c>
      <c r="L1116" s="14">
        <v>98</v>
      </c>
      <c r="M1116" s="15">
        <v>18.77</v>
      </c>
      <c r="N1116" s="17">
        <v>16775.28</v>
      </c>
      <c r="O1116" s="17">
        <v>1551.6322907477311</v>
      </c>
      <c r="P1116" s="17">
        <v>989.40628703011635</v>
      </c>
      <c r="Q1116" s="17">
        <v>14234.241422222151</v>
      </c>
      <c r="R1116" s="17">
        <v>9339.84</v>
      </c>
      <c r="S1116" s="17">
        <v>4894.401422222154</v>
      </c>
      <c r="T1116" s="17">
        <v>1839.46</v>
      </c>
    </row>
    <row r="1117" spans="1:20" x14ac:dyDescent="0.3">
      <c r="A1117" s="13">
        <v>45930</v>
      </c>
      <c r="B1117" s="7" t="s">
        <v>134</v>
      </c>
      <c r="C1117" s="7" t="s">
        <v>31</v>
      </c>
      <c r="D1117" s="7" t="s">
        <v>104</v>
      </c>
      <c r="E1117" s="7" t="s">
        <v>30</v>
      </c>
      <c r="F1117" s="14">
        <v>250</v>
      </c>
      <c r="G1117" s="15">
        <v>35.270000000000003</v>
      </c>
      <c r="H1117" s="16">
        <v>4.6304645742832683E-2</v>
      </c>
      <c r="I1117" s="16">
        <v>1.418530506573544E-2</v>
      </c>
      <c r="J1117" s="15">
        <v>21.95</v>
      </c>
      <c r="K1117" s="14">
        <v>20</v>
      </c>
      <c r="L1117" s="14">
        <v>1</v>
      </c>
      <c r="M1117" s="15">
        <v>5.86</v>
      </c>
      <c r="N1117" s="17">
        <v>8817.5</v>
      </c>
      <c r="O1117" s="17">
        <v>408.29121383742722</v>
      </c>
      <c r="P1117" s="17">
        <v>119.28719199317889</v>
      </c>
      <c r="Q1117" s="17">
        <v>8289.9215941693947</v>
      </c>
      <c r="R1117" s="17">
        <v>5487.5</v>
      </c>
      <c r="S1117" s="17">
        <v>2802.4215941693951</v>
      </c>
      <c r="T1117" s="17">
        <v>5.86</v>
      </c>
    </row>
    <row r="1118" spans="1:20" x14ac:dyDescent="0.3">
      <c r="A1118" s="13">
        <v>45961</v>
      </c>
      <c r="B1118" s="7" t="s">
        <v>135</v>
      </c>
      <c r="C1118" s="7" t="s">
        <v>24</v>
      </c>
      <c r="D1118" s="7" t="s">
        <v>102</v>
      </c>
      <c r="E1118" s="7" t="s">
        <v>25</v>
      </c>
      <c r="F1118" s="14">
        <v>10455</v>
      </c>
      <c r="G1118" s="15">
        <v>130.91999999999999</v>
      </c>
      <c r="H1118" s="16">
        <v>7.7004187463647705E-2</v>
      </c>
      <c r="I1118" s="16">
        <v>2.4549435925935649E-2</v>
      </c>
      <c r="J1118" s="15">
        <v>73.66</v>
      </c>
      <c r="K1118" s="14">
        <v>7170</v>
      </c>
      <c r="L1118" s="14">
        <v>2767</v>
      </c>
      <c r="M1118" s="15">
        <v>33.71</v>
      </c>
      <c r="N1118" s="17">
        <v>1368768.6</v>
      </c>
      <c r="O1118" s="17">
        <v>105400.91386875459</v>
      </c>
      <c r="P1118" s="17">
        <v>31014.964061576578</v>
      </c>
      <c r="Q1118" s="17">
        <v>1232352.722069669</v>
      </c>
      <c r="R1118" s="17">
        <v>770115.29999999993</v>
      </c>
      <c r="S1118" s="17">
        <v>462237.42206966871</v>
      </c>
      <c r="T1118" s="17">
        <v>93275.57</v>
      </c>
    </row>
    <row r="1119" spans="1:20" x14ac:dyDescent="0.3">
      <c r="A1119" s="13">
        <v>45961</v>
      </c>
      <c r="B1119" s="7" t="s">
        <v>135</v>
      </c>
      <c r="C1119" s="7" t="s">
        <v>24</v>
      </c>
      <c r="D1119" s="7" t="s">
        <v>102</v>
      </c>
      <c r="E1119" s="7" t="s">
        <v>28</v>
      </c>
      <c r="F1119" s="14">
        <v>4815</v>
      </c>
      <c r="G1119" s="15">
        <v>128.35</v>
      </c>
      <c r="H1119" s="16">
        <v>9.0114642600104933E-2</v>
      </c>
      <c r="I1119" s="16">
        <v>7.9929696173169654E-2</v>
      </c>
      <c r="J1119" s="15">
        <v>76.3</v>
      </c>
      <c r="K1119" s="14">
        <v>4252</v>
      </c>
      <c r="L1119" s="14">
        <v>1246</v>
      </c>
      <c r="M1119" s="15">
        <v>15.04</v>
      </c>
      <c r="N1119" s="17">
        <v>618005.25</v>
      </c>
      <c r="O1119" s="17">
        <v>55691.3222287385</v>
      </c>
      <c r="P1119" s="17">
        <v>44945.581400698597</v>
      </c>
      <c r="Q1119" s="17">
        <v>517368.34637056291</v>
      </c>
      <c r="R1119" s="17">
        <v>367384.5</v>
      </c>
      <c r="S1119" s="17">
        <v>149983.84637056291</v>
      </c>
      <c r="T1119" s="17">
        <v>18739.84</v>
      </c>
    </row>
    <row r="1120" spans="1:20" x14ac:dyDescent="0.3">
      <c r="A1120" s="13">
        <v>45961</v>
      </c>
      <c r="B1120" s="7" t="s">
        <v>135</v>
      </c>
      <c r="C1120" s="7" t="s">
        <v>24</v>
      </c>
      <c r="D1120" s="7" t="s">
        <v>102</v>
      </c>
      <c r="E1120" s="7" t="s">
        <v>30</v>
      </c>
      <c r="F1120" s="14">
        <v>3698</v>
      </c>
      <c r="G1120" s="15">
        <v>107.37</v>
      </c>
      <c r="H1120" s="16">
        <v>4.7695653307537007E-2</v>
      </c>
      <c r="I1120" s="16">
        <v>2.6845472913814259E-2</v>
      </c>
      <c r="J1120" s="15">
        <v>74.25</v>
      </c>
      <c r="K1120" s="14">
        <v>308</v>
      </c>
      <c r="L1120" s="14">
        <v>19</v>
      </c>
      <c r="M1120" s="15">
        <v>5.74</v>
      </c>
      <c r="N1120" s="17">
        <v>397054.26</v>
      </c>
      <c r="O1120" s="17">
        <v>18937.762329240661</v>
      </c>
      <c r="P1120" s="17">
        <v>10150.716196486679</v>
      </c>
      <c r="Q1120" s="17">
        <v>367965.78147427272</v>
      </c>
      <c r="R1120" s="17">
        <v>274576.5</v>
      </c>
      <c r="S1120" s="17">
        <v>93389.281474272662</v>
      </c>
      <c r="T1120" s="17">
        <v>109.06</v>
      </c>
    </row>
    <row r="1121" spans="1:20" x14ac:dyDescent="0.3">
      <c r="A1121" s="13">
        <v>45961</v>
      </c>
      <c r="B1121" s="7" t="s">
        <v>135</v>
      </c>
      <c r="C1121" s="7" t="s">
        <v>24</v>
      </c>
      <c r="D1121" s="7" t="s">
        <v>103</v>
      </c>
      <c r="E1121" s="7" t="s">
        <v>25</v>
      </c>
      <c r="F1121" s="14">
        <v>4200</v>
      </c>
      <c r="G1121" s="15">
        <v>237.7</v>
      </c>
      <c r="H1121" s="16">
        <v>8.6007430401716975E-2</v>
      </c>
      <c r="I1121" s="16">
        <v>3.5550536091047469E-2</v>
      </c>
      <c r="J1121" s="15">
        <v>133.80000000000001</v>
      </c>
      <c r="K1121" s="14">
        <v>3090</v>
      </c>
      <c r="L1121" s="14">
        <v>1126</v>
      </c>
      <c r="M1121" s="15">
        <v>37.14</v>
      </c>
      <c r="N1121" s="17">
        <v>998340</v>
      </c>
      <c r="O1121" s="17">
        <v>85864.65806725013</v>
      </c>
      <c r="P1121" s="17">
        <v>32438.9875755711</v>
      </c>
      <c r="Q1121" s="17">
        <v>880036.35435717879</v>
      </c>
      <c r="R1121" s="17">
        <v>561960</v>
      </c>
      <c r="S1121" s="17">
        <v>318076.35435717879</v>
      </c>
      <c r="T1121" s="17">
        <v>41819.64</v>
      </c>
    </row>
    <row r="1122" spans="1:20" x14ac:dyDescent="0.3">
      <c r="A1122" s="13">
        <v>45961</v>
      </c>
      <c r="B1122" s="7" t="s">
        <v>135</v>
      </c>
      <c r="C1122" s="7" t="s">
        <v>24</v>
      </c>
      <c r="D1122" s="7" t="s">
        <v>103</v>
      </c>
      <c r="E1122" s="7" t="s">
        <v>28</v>
      </c>
      <c r="F1122" s="14">
        <v>1934</v>
      </c>
      <c r="G1122" s="15">
        <v>227.5</v>
      </c>
      <c r="H1122" s="16">
        <v>0.1175082659995656</v>
      </c>
      <c r="I1122" s="16">
        <v>8.3826707643601672E-2</v>
      </c>
      <c r="J1122" s="15">
        <v>125.04</v>
      </c>
      <c r="K1122" s="14">
        <v>1495</v>
      </c>
      <c r="L1122" s="14">
        <v>448</v>
      </c>
      <c r="M1122" s="15">
        <v>20.6</v>
      </c>
      <c r="N1122" s="17">
        <v>439985</v>
      </c>
      <c r="O1122" s="17">
        <v>51701.874415818857</v>
      </c>
      <c r="P1122" s="17">
        <v>32548.496051289028</v>
      </c>
      <c r="Q1122" s="17">
        <v>355734.62953289208</v>
      </c>
      <c r="R1122" s="17">
        <v>241827.36</v>
      </c>
      <c r="S1122" s="17">
        <v>113907.2695328921</v>
      </c>
      <c r="T1122" s="17">
        <v>9228.8000000000011</v>
      </c>
    </row>
    <row r="1123" spans="1:20" x14ac:dyDescent="0.3">
      <c r="A1123" s="13">
        <v>45961</v>
      </c>
      <c r="B1123" s="7" t="s">
        <v>135</v>
      </c>
      <c r="C1123" s="7" t="s">
        <v>24</v>
      </c>
      <c r="D1123" s="7" t="s">
        <v>103</v>
      </c>
      <c r="E1123" s="7" t="s">
        <v>30</v>
      </c>
      <c r="F1123" s="14">
        <v>1826</v>
      </c>
      <c r="G1123" s="15">
        <v>188.34</v>
      </c>
      <c r="H1123" s="16">
        <v>4.8834331756041807E-2</v>
      </c>
      <c r="I1123" s="16">
        <v>1.422146212541542E-2</v>
      </c>
      <c r="J1123" s="15">
        <v>126.89</v>
      </c>
      <c r="K1123" s="14">
        <v>159</v>
      </c>
      <c r="L1123" s="14">
        <v>10</v>
      </c>
      <c r="M1123" s="15">
        <v>5.88</v>
      </c>
      <c r="N1123" s="17">
        <v>343908.84</v>
      </c>
      <c r="O1123" s="17">
        <v>16794.5583863955</v>
      </c>
      <c r="P1123" s="17">
        <v>4652.0433666503513</v>
      </c>
      <c r="Q1123" s="17">
        <v>322462.23824695422</v>
      </c>
      <c r="R1123" s="17">
        <v>231701.14</v>
      </c>
      <c r="S1123" s="17">
        <v>90761.098246954149</v>
      </c>
      <c r="T1123" s="17">
        <v>58.8</v>
      </c>
    </row>
    <row r="1124" spans="1:20" x14ac:dyDescent="0.3">
      <c r="A1124" s="13">
        <v>45961</v>
      </c>
      <c r="B1124" s="7" t="s">
        <v>135</v>
      </c>
      <c r="C1124" s="7" t="s">
        <v>24</v>
      </c>
      <c r="D1124" s="7" t="s">
        <v>104</v>
      </c>
      <c r="E1124" s="7" t="s">
        <v>25</v>
      </c>
      <c r="F1124" s="14">
        <v>3697</v>
      </c>
      <c r="G1124" s="15">
        <v>47.78</v>
      </c>
      <c r="H1124" s="16">
        <v>4.3531106430986267E-2</v>
      </c>
      <c r="I1124" s="16">
        <v>4.1488087616795913E-2</v>
      </c>
      <c r="J1124" s="15">
        <v>23.26</v>
      </c>
      <c r="K1124" s="14">
        <v>2667</v>
      </c>
      <c r="L1124" s="14">
        <v>1034</v>
      </c>
      <c r="M1124" s="15">
        <v>26.37</v>
      </c>
      <c r="N1124" s="17">
        <v>176642.66</v>
      </c>
      <c r="O1124" s="17">
        <v>7689.4504327125223</v>
      </c>
      <c r="P1124" s="17">
        <v>7009.5455616665031</v>
      </c>
      <c r="Q1124" s="17">
        <v>161943.66400562099</v>
      </c>
      <c r="R1124" s="17">
        <v>85992.22</v>
      </c>
      <c r="S1124" s="17">
        <v>75951.444005620957</v>
      </c>
      <c r="T1124" s="17">
        <v>27266.58</v>
      </c>
    </row>
    <row r="1125" spans="1:20" x14ac:dyDescent="0.3">
      <c r="A1125" s="13">
        <v>45961</v>
      </c>
      <c r="B1125" s="7" t="s">
        <v>135</v>
      </c>
      <c r="C1125" s="7" t="s">
        <v>24</v>
      </c>
      <c r="D1125" s="7" t="s">
        <v>104</v>
      </c>
      <c r="E1125" s="7" t="s">
        <v>28</v>
      </c>
      <c r="F1125" s="14">
        <v>1171</v>
      </c>
      <c r="G1125" s="15">
        <v>47.19</v>
      </c>
      <c r="H1125" s="16">
        <v>0.1028294662235197</v>
      </c>
      <c r="I1125" s="16">
        <v>8.4121008707590927E-2</v>
      </c>
      <c r="J1125" s="15">
        <v>22.68</v>
      </c>
      <c r="K1125" s="14">
        <v>947</v>
      </c>
      <c r="L1125" s="14">
        <v>281</v>
      </c>
      <c r="M1125" s="15">
        <v>20.85</v>
      </c>
      <c r="N1125" s="17">
        <v>55259.49</v>
      </c>
      <c r="O1125" s="17">
        <v>5682.3038604839239</v>
      </c>
      <c r="P1125" s="17">
        <v>4170.4829069400876</v>
      </c>
      <c r="Q1125" s="17">
        <v>45406.703232575986</v>
      </c>
      <c r="R1125" s="17">
        <v>26558.28</v>
      </c>
      <c r="S1125" s="17">
        <v>18848.423232575991</v>
      </c>
      <c r="T1125" s="17">
        <v>5858.85</v>
      </c>
    </row>
    <row r="1126" spans="1:20" x14ac:dyDescent="0.3">
      <c r="A1126" s="13">
        <v>45961</v>
      </c>
      <c r="B1126" s="7" t="s">
        <v>135</v>
      </c>
      <c r="C1126" s="7" t="s">
        <v>24</v>
      </c>
      <c r="D1126" s="7" t="s">
        <v>104</v>
      </c>
      <c r="E1126" s="7" t="s">
        <v>30</v>
      </c>
      <c r="F1126" s="14">
        <v>1283</v>
      </c>
      <c r="G1126" s="15">
        <v>41.58</v>
      </c>
      <c r="H1126" s="16">
        <v>5.2214185687589322E-2</v>
      </c>
      <c r="I1126" s="16">
        <v>1.660277507541125E-2</v>
      </c>
      <c r="J1126" s="15">
        <v>23.4</v>
      </c>
      <c r="K1126" s="14">
        <v>110</v>
      </c>
      <c r="L1126" s="14">
        <v>6</v>
      </c>
      <c r="M1126" s="15">
        <v>4.78</v>
      </c>
      <c r="N1126" s="17">
        <v>53347.14</v>
      </c>
      <c r="O1126" s="17">
        <v>2785.4774738618239</v>
      </c>
      <c r="P1126" s="17">
        <v>839.46391036032219</v>
      </c>
      <c r="Q1126" s="17">
        <v>49722.198615777859</v>
      </c>
      <c r="R1126" s="17">
        <v>30022.2</v>
      </c>
      <c r="S1126" s="17">
        <v>19699.998615777859</v>
      </c>
      <c r="T1126" s="17">
        <v>28.68</v>
      </c>
    </row>
    <row r="1127" spans="1:20" x14ac:dyDescent="0.3">
      <c r="A1127" s="13">
        <v>45961</v>
      </c>
      <c r="B1127" s="7" t="s">
        <v>135</v>
      </c>
      <c r="C1127" s="7" t="s">
        <v>27</v>
      </c>
      <c r="D1127" s="7" t="s">
        <v>102</v>
      </c>
      <c r="E1127" s="7" t="s">
        <v>25</v>
      </c>
      <c r="F1127" s="14">
        <v>7356</v>
      </c>
      <c r="G1127" s="15">
        <v>143.62</v>
      </c>
      <c r="H1127" s="16">
        <v>7.034674472552685E-2</v>
      </c>
      <c r="I1127" s="16">
        <v>5.3469412443889953E-2</v>
      </c>
      <c r="J1127" s="15">
        <v>79.25</v>
      </c>
      <c r="K1127" s="14">
        <v>4834</v>
      </c>
      <c r="L1127" s="14">
        <v>1834</v>
      </c>
      <c r="M1127" s="15">
        <v>31.96</v>
      </c>
      <c r="N1127" s="17">
        <v>1056468.72</v>
      </c>
      <c r="O1127" s="17">
        <v>74319.135356344093</v>
      </c>
      <c r="P1127" s="17">
        <v>52514.961222906837</v>
      </c>
      <c r="Q1127" s="17">
        <v>929634.62342074909</v>
      </c>
      <c r="R1127" s="17">
        <v>582963</v>
      </c>
      <c r="S1127" s="17">
        <v>346671.62342074909</v>
      </c>
      <c r="T1127" s="17">
        <v>58614.64</v>
      </c>
    </row>
    <row r="1128" spans="1:20" x14ac:dyDescent="0.3">
      <c r="A1128" s="13">
        <v>45961</v>
      </c>
      <c r="B1128" s="7" t="s">
        <v>135</v>
      </c>
      <c r="C1128" s="7" t="s">
        <v>27</v>
      </c>
      <c r="D1128" s="7" t="s">
        <v>102</v>
      </c>
      <c r="E1128" s="7" t="s">
        <v>28</v>
      </c>
      <c r="F1128" s="14">
        <v>3184</v>
      </c>
      <c r="G1128" s="15">
        <v>127.58</v>
      </c>
      <c r="H1128" s="16">
        <v>9.5477105563459785E-2</v>
      </c>
      <c r="I1128" s="16">
        <v>3.7733413977098611E-2</v>
      </c>
      <c r="J1128" s="15">
        <v>80.42</v>
      </c>
      <c r="K1128" s="14">
        <v>2685</v>
      </c>
      <c r="L1128" s="14">
        <v>825</v>
      </c>
      <c r="M1128" s="15">
        <v>17.8</v>
      </c>
      <c r="N1128" s="17">
        <v>406214.72</v>
      </c>
      <c r="O1128" s="17">
        <v>38784.205702871259</v>
      </c>
      <c r="P1128" s="17">
        <v>13864.40770379181</v>
      </c>
      <c r="Q1128" s="17">
        <v>353566.10659333691</v>
      </c>
      <c r="R1128" s="17">
        <v>256057.28</v>
      </c>
      <c r="S1128" s="17">
        <v>97508.826593336911</v>
      </c>
      <c r="T1128" s="17">
        <v>14685</v>
      </c>
    </row>
    <row r="1129" spans="1:20" x14ac:dyDescent="0.3">
      <c r="A1129" s="13">
        <v>45961</v>
      </c>
      <c r="B1129" s="7" t="s">
        <v>135</v>
      </c>
      <c r="C1129" s="7" t="s">
        <v>27</v>
      </c>
      <c r="D1129" s="7" t="s">
        <v>102</v>
      </c>
      <c r="E1129" s="7" t="s">
        <v>30</v>
      </c>
      <c r="F1129" s="14">
        <v>2366</v>
      </c>
      <c r="G1129" s="15">
        <v>113.32</v>
      </c>
      <c r="H1129" s="16">
        <v>4.9468209781044742E-2</v>
      </c>
      <c r="I1129" s="16">
        <v>1.832416513386808E-2</v>
      </c>
      <c r="J1129" s="15">
        <v>73.400000000000006</v>
      </c>
      <c r="K1129" s="14">
        <v>204</v>
      </c>
      <c r="L1129" s="14">
        <v>13</v>
      </c>
      <c r="M1129" s="15">
        <v>4.38</v>
      </c>
      <c r="N1129" s="17">
        <v>268115.12</v>
      </c>
      <c r="O1129" s="17">
        <v>13263.175001629979</v>
      </c>
      <c r="P1129" s="17">
        <v>4669.9491248375962</v>
      </c>
      <c r="Q1129" s="17">
        <v>250181.9958735324</v>
      </c>
      <c r="R1129" s="17">
        <v>173664.4</v>
      </c>
      <c r="S1129" s="17">
        <v>76517.595873532409</v>
      </c>
      <c r="T1129" s="17">
        <v>56.94</v>
      </c>
    </row>
    <row r="1130" spans="1:20" x14ac:dyDescent="0.3">
      <c r="A1130" s="13">
        <v>45961</v>
      </c>
      <c r="B1130" s="7" t="s">
        <v>135</v>
      </c>
      <c r="C1130" s="7" t="s">
        <v>27</v>
      </c>
      <c r="D1130" s="7" t="s">
        <v>103</v>
      </c>
      <c r="E1130" s="7" t="s">
        <v>25</v>
      </c>
      <c r="F1130" s="14">
        <v>2962</v>
      </c>
      <c r="G1130" s="15">
        <v>268.23</v>
      </c>
      <c r="H1130" s="16">
        <v>6.8927917881639877E-2</v>
      </c>
      <c r="I1130" s="16">
        <v>4.0375530766605633E-2</v>
      </c>
      <c r="J1130" s="15">
        <v>134.37</v>
      </c>
      <c r="K1130" s="14">
        <v>2033</v>
      </c>
      <c r="L1130" s="14">
        <v>704</v>
      </c>
      <c r="M1130" s="15">
        <v>27.46</v>
      </c>
      <c r="N1130" s="17">
        <v>794497.26</v>
      </c>
      <c r="O1130" s="17">
        <v>54763.04189446789</v>
      </c>
      <c r="P1130" s="17">
        <v>29867.161682230879</v>
      </c>
      <c r="Q1130" s="17">
        <v>709867.05642330123</v>
      </c>
      <c r="R1130" s="17">
        <v>398003.94</v>
      </c>
      <c r="S1130" s="17">
        <v>311863.11642330122</v>
      </c>
      <c r="T1130" s="17">
        <v>19331.84</v>
      </c>
    </row>
    <row r="1131" spans="1:20" x14ac:dyDescent="0.3">
      <c r="A1131" s="13">
        <v>45961</v>
      </c>
      <c r="B1131" s="7" t="s">
        <v>135</v>
      </c>
      <c r="C1131" s="7" t="s">
        <v>27</v>
      </c>
      <c r="D1131" s="7" t="s">
        <v>103</v>
      </c>
      <c r="E1131" s="7" t="s">
        <v>28</v>
      </c>
      <c r="F1131" s="14">
        <v>1511</v>
      </c>
      <c r="G1131" s="15">
        <v>248.59</v>
      </c>
      <c r="H1131" s="16">
        <v>0.1223751078820271</v>
      </c>
      <c r="I1131" s="16">
        <v>7.0872440602287479E-2</v>
      </c>
      <c r="J1131" s="15">
        <v>136.44999999999999</v>
      </c>
      <c r="K1131" s="14">
        <v>1241</v>
      </c>
      <c r="L1131" s="14">
        <v>352</v>
      </c>
      <c r="M1131" s="15">
        <v>16.309999999999999</v>
      </c>
      <c r="N1131" s="17">
        <v>375619.49</v>
      </c>
      <c r="O1131" s="17">
        <v>45966.475611342001</v>
      </c>
      <c r="P1131" s="17">
        <v>23363.313681625179</v>
      </c>
      <c r="Q1131" s="17">
        <v>306289.70070703281</v>
      </c>
      <c r="R1131" s="17">
        <v>206175.95</v>
      </c>
      <c r="S1131" s="17">
        <v>100113.7507070328</v>
      </c>
      <c r="T1131" s="17">
        <v>5741.12</v>
      </c>
    </row>
    <row r="1132" spans="1:20" x14ac:dyDescent="0.3">
      <c r="A1132" s="13">
        <v>45961</v>
      </c>
      <c r="B1132" s="7" t="s">
        <v>135</v>
      </c>
      <c r="C1132" s="7" t="s">
        <v>27</v>
      </c>
      <c r="D1132" s="7" t="s">
        <v>103</v>
      </c>
      <c r="E1132" s="7" t="s">
        <v>30</v>
      </c>
      <c r="F1132" s="14">
        <v>835</v>
      </c>
      <c r="G1132" s="15">
        <v>222.04</v>
      </c>
      <c r="H1132" s="16">
        <v>4.7481605457651878E-2</v>
      </c>
      <c r="I1132" s="16">
        <v>1.422682830635578E-2</v>
      </c>
      <c r="J1132" s="15">
        <v>128.53</v>
      </c>
      <c r="K1132" s="14">
        <v>74</v>
      </c>
      <c r="L1132" s="14">
        <v>5</v>
      </c>
      <c r="M1132" s="15">
        <v>3.48</v>
      </c>
      <c r="N1132" s="17">
        <v>185403.4</v>
      </c>
      <c r="O1132" s="17">
        <v>8803.251089307214</v>
      </c>
      <c r="P1132" s="17">
        <v>2512.4599974292901</v>
      </c>
      <c r="Q1132" s="17">
        <v>174087.6889132635</v>
      </c>
      <c r="R1132" s="17">
        <v>107322.55</v>
      </c>
      <c r="S1132" s="17">
        <v>66765.138913263494</v>
      </c>
      <c r="T1132" s="17">
        <v>17.399999999999999</v>
      </c>
    </row>
    <row r="1133" spans="1:20" x14ac:dyDescent="0.3">
      <c r="A1133" s="13">
        <v>45961</v>
      </c>
      <c r="B1133" s="7" t="s">
        <v>135</v>
      </c>
      <c r="C1133" s="7" t="s">
        <v>27</v>
      </c>
      <c r="D1133" s="7" t="s">
        <v>104</v>
      </c>
      <c r="E1133" s="7" t="s">
        <v>25</v>
      </c>
      <c r="F1133" s="14">
        <v>2403</v>
      </c>
      <c r="G1133" s="15">
        <v>53.73</v>
      </c>
      <c r="H1133" s="16">
        <v>8.4443768125194177E-2</v>
      </c>
      <c r="I1133" s="16">
        <v>3.5959046881675998E-2</v>
      </c>
      <c r="J1133" s="15">
        <v>25.83</v>
      </c>
      <c r="K1133" s="14">
        <v>1764</v>
      </c>
      <c r="L1133" s="14">
        <v>665</v>
      </c>
      <c r="M1133" s="15">
        <v>43.47</v>
      </c>
      <c r="N1133" s="17">
        <v>129113.19</v>
      </c>
      <c r="O1133" s="17">
        <v>10902.804278264141</v>
      </c>
      <c r="P1133" s="17">
        <v>4250.7328020689029</v>
      </c>
      <c r="Q1133" s="17">
        <v>113959.6529196669</v>
      </c>
      <c r="R1133" s="17">
        <v>62069.49</v>
      </c>
      <c r="S1133" s="17">
        <v>51890.162919666953</v>
      </c>
      <c r="T1133" s="17">
        <v>28907.55</v>
      </c>
    </row>
    <row r="1134" spans="1:20" x14ac:dyDescent="0.3">
      <c r="A1134" s="13">
        <v>45961</v>
      </c>
      <c r="B1134" s="7" t="s">
        <v>135</v>
      </c>
      <c r="C1134" s="7" t="s">
        <v>27</v>
      </c>
      <c r="D1134" s="7" t="s">
        <v>104</v>
      </c>
      <c r="E1134" s="7" t="s">
        <v>28</v>
      </c>
      <c r="F1134" s="14">
        <v>1087</v>
      </c>
      <c r="G1134" s="15">
        <v>49.69</v>
      </c>
      <c r="H1134" s="16">
        <v>8.2651671743989949E-2</v>
      </c>
      <c r="I1134" s="16">
        <v>7.9218579802844691E-2</v>
      </c>
      <c r="J1134" s="15">
        <v>25.23</v>
      </c>
      <c r="K1134" s="14">
        <v>885</v>
      </c>
      <c r="L1134" s="14">
        <v>277</v>
      </c>
      <c r="M1134" s="15">
        <v>18.5</v>
      </c>
      <c r="N1134" s="17">
        <v>54013.03</v>
      </c>
      <c r="O1134" s="17">
        <v>4464.2672254582812</v>
      </c>
      <c r="P1134" s="17">
        <v>3925.1826179872542</v>
      </c>
      <c r="Q1134" s="17">
        <v>45623.580156554468</v>
      </c>
      <c r="R1134" s="17">
        <v>27425.01</v>
      </c>
      <c r="S1134" s="17">
        <v>18198.57015655447</v>
      </c>
      <c r="T1134" s="17">
        <v>5124.5</v>
      </c>
    </row>
    <row r="1135" spans="1:20" x14ac:dyDescent="0.3">
      <c r="A1135" s="13">
        <v>45961</v>
      </c>
      <c r="B1135" s="7" t="s">
        <v>135</v>
      </c>
      <c r="C1135" s="7" t="s">
        <v>27</v>
      </c>
      <c r="D1135" s="7" t="s">
        <v>104</v>
      </c>
      <c r="E1135" s="7" t="s">
        <v>30</v>
      </c>
      <c r="F1135" s="14">
        <v>710</v>
      </c>
      <c r="G1135" s="15">
        <v>43.18</v>
      </c>
      <c r="H1135" s="16">
        <v>4.7441803008937938E-2</v>
      </c>
      <c r="I1135" s="16">
        <v>2.5109815775300019E-2</v>
      </c>
      <c r="J1135" s="15">
        <v>24.88</v>
      </c>
      <c r="K1135" s="14">
        <v>56</v>
      </c>
      <c r="L1135" s="14">
        <v>3</v>
      </c>
      <c r="M1135" s="15">
        <v>6.24</v>
      </c>
      <c r="N1135" s="17">
        <v>30657.8</v>
      </c>
      <c r="O1135" s="17">
        <v>1454.461308287418</v>
      </c>
      <c r="P1135" s="17">
        <v>733.29045457259406</v>
      </c>
      <c r="Q1135" s="17">
        <v>28470.048237139988</v>
      </c>
      <c r="R1135" s="17">
        <v>17664.8</v>
      </c>
      <c r="S1135" s="17">
        <v>10805.248237139989</v>
      </c>
      <c r="T1135" s="17">
        <v>18.72</v>
      </c>
    </row>
    <row r="1136" spans="1:20" x14ac:dyDescent="0.3">
      <c r="A1136" s="13">
        <v>45961</v>
      </c>
      <c r="B1136" s="7" t="s">
        <v>135</v>
      </c>
      <c r="C1136" s="7" t="s">
        <v>29</v>
      </c>
      <c r="D1136" s="7" t="s">
        <v>102</v>
      </c>
      <c r="E1136" s="7" t="s">
        <v>25</v>
      </c>
      <c r="F1136" s="14">
        <v>4428</v>
      </c>
      <c r="G1136" s="15">
        <v>126.49</v>
      </c>
      <c r="H1136" s="16">
        <v>8.6089994017170018E-2</v>
      </c>
      <c r="I1136" s="16">
        <v>4.4205367059040698E-2</v>
      </c>
      <c r="J1136" s="15">
        <v>77.03</v>
      </c>
      <c r="K1136" s="14">
        <v>3012</v>
      </c>
      <c r="L1136" s="14">
        <v>1197</v>
      </c>
      <c r="M1136" s="15">
        <v>35.11</v>
      </c>
      <c r="N1136" s="17">
        <v>560097.72</v>
      </c>
      <c r="O1136" s="17">
        <v>48218.809363830573</v>
      </c>
      <c r="P1136" s="17">
        <v>22627.795134453761</v>
      </c>
      <c r="Q1136" s="17">
        <v>489251.11550171569</v>
      </c>
      <c r="R1136" s="17">
        <v>341088.84</v>
      </c>
      <c r="S1136" s="17">
        <v>148162.27550171569</v>
      </c>
      <c r="T1136" s="17">
        <v>42026.67</v>
      </c>
    </row>
    <row r="1137" spans="1:20" x14ac:dyDescent="0.3">
      <c r="A1137" s="13">
        <v>45961</v>
      </c>
      <c r="B1137" s="7" t="s">
        <v>135</v>
      </c>
      <c r="C1137" s="7" t="s">
        <v>29</v>
      </c>
      <c r="D1137" s="7" t="s">
        <v>102</v>
      </c>
      <c r="E1137" s="7" t="s">
        <v>28</v>
      </c>
      <c r="F1137" s="14">
        <v>2913</v>
      </c>
      <c r="G1137" s="15">
        <v>120.27</v>
      </c>
      <c r="H1137" s="16">
        <v>0.1241946725588958</v>
      </c>
      <c r="I1137" s="16">
        <v>7.0938554239661292E-2</v>
      </c>
      <c r="J1137" s="15">
        <v>72.8</v>
      </c>
      <c r="K1137" s="14">
        <v>2396</v>
      </c>
      <c r="L1137" s="14">
        <v>719</v>
      </c>
      <c r="M1137" s="15">
        <v>22.46</v>
      </c>
      <c r="N1137" s="17">
        <v>350346.51</v>
      </c>
      <c r="O1137" s="17">
        <v>43511.170091601918</v>
      </c>
      <c r="P1137" s="17">
        <v>21766.45540273681</v>
      </c>
      <c r="Q1137" s="17">
        <v>285068.88450566132</v>
      </c>
      <c r="R1137" s="17">
        <v>212066.4</v>
      </c>
      <c r="S1137" s="17">
        <v>73002.484505661327</v>
      </c>
      <c r="T1137" s="17">
        <v>16148.74</v>
      </c>
    </row>
    <row r="1138" spans="1:20" x14ac:dyDescent="0.3">
      <c r="A1138" s="13">
        <v>45961</v>
      </c>
      <c r="B1138" s="7" t="s">
        <v>135</v>
      </c>
      <c r="C1138" s="7" t="s">
        <v>29</v>
      </c>
      <c r="D1138" s="7" t="s">
        <v>102</v>
      </c>
      <c r="E1138" s="7" t="s">
        <v>30</v>
      </c>
      <c r="F1138" s="14">
        <v>1297</v>
      </c>
      <c r="G1138" s="15">
        <v>102.61</v>
      </c>
      <c r="H1138" s="16">
        <v>5.4541352383431253E-2</v>
      </c>
      <c r="I1138" s="16">
        <v>2.0322037612159709E-2</v>
      </c>
      <c r="J1138" s="15">
        <v>74.23</v>
      </c>
      <c r="K1138" s="14">
        <v>102</v>
      </c>
      <c r="L1138" s="14">
        <v>6</v>
      </c>
      <c r="M1138" s="15">
        <v>4.2699999999999996</v>
      </c>
      <c r="N1138" s="17">
        <v>133085.17000000001</v>
      </c>
      <c r="O1138" s="17">
        <v>7258.6451539788532</v>
      </c>
      <c r="P1138" s="17">
        <v>2557.051370528191</v>
      </c>
      <c r="Q1138" s="17">
        <v>123269.473475493</v>
      </c>
      <c r="R1138" s="17">
        <v>96276.310000000012</v>
      </c>
      <c r="S1138" s="17">
        <v>26993.163475492951</v>
      </c>
      <c r="T1138" s="17">
        <v>25.62</v>
      </c>
    </row>
    <row r="1139" spans="1:20" x14ac:dyDescent="0.3">
      <c r="A1139" s="13">
        <v>45961</v>
      </c>
      <c r="B1139" s="7" t="s">
        <v>135</v>
      </c>
      <c r="C1139" s="7" t="s">
        <v>29</v>
      </c>
      <c r="D1139" s="7" t="s">
        <v>103</v>
      </c>
      <c r="E1139" s="7" t="s">
        <v>25</v>
      </c>
      <c r="F1139" s="14">
        <v>2666</v>
      </c>
      <c r="G1139" s="15">
        <v>240.88</v>
      </c>
      <c r="H1139" s="16">
        <v>7.256303365677505E-2</v>
      </c>
      <c r="I1139" s="16">
        <v>4.2739110868471791E-2</v>
      </c>
      <c r="J1139" s="15">
        <v>119.4</v>
      </c>
      <c r="K1139" s="14">
        <v>1912</v>
      </c>
      <c r="L1139" s="14">
        <v>780</v>
      </c>
      <c r="M1139" s="15">
        <v>28.94</v>
      </c>
      <c r="N1139" s="17">
        <v>642186.07999999996</v>
      </c>
      <c r="O1139" s="17">
        <v>46598.970136952426</v>
      </c>
      <c r="P1139" s="17">
        <v>25454.863520269471</v>
      </c>
      <c r="Q1139" s="17">
        <v>570132.24634277797</v>
      </c>
      <c r="R1139" s="17">
        <v>318320.40000000002</v>
      </c>
      <c r="S1139" s="17">
        <v>251811.84634277789</v>
      </c>
      <c r="T1139" s="17">
        <v>22573.200000000001</v>
      </c>
    </row>
    <row r="1140" spans="1:20" x14ac:dyDescent="0.3">
      <c r="A1140" s="13">
        <v>45961</v>
      </c>
      <c r="B1140" s="7" t="s">
        <v>135</v>
      </c>
      <c r="C1140" s="7" t="s">
        <v>29</v>
      </c>
      <c r="D1140" s="7" t="s">
        <v>103</v>
      </c>
      <c r="E1140" s="7" t="s">
        <v>28</v>
      </c>
      <c r="F1140" s="14">
        <v>1056</v>
      </c>
      <c r="G1140" s="15">
        <v>219.87</v>
      </c>
      <c r="H1140" s="16">
        <v>9.997567424554929E-2</v>
      </c>
      <c r="I1140" s="16">
        <v>5.7342478273278569E-2</v>
      </c>
      <c r="J1140" s="15">
        <v>126.05</v>
      </c>
      <c r="K1140" s="14">
        <v>917</v>
      </c>
      <c r="L1140" s="14">
        <v>265</v>
      </c>
      <c r="M1140" s="15">
        <v>16.73</v>
      </c>
      <c r="N1140" s="17">
        <v>232182.72</v>
      </c>
      <c r="O1140" s="17">
        <v>23212.623980165579</v>
      </c>
      <c r="P1140" s="17">
        <v>11982.863190782289</v>
      </c>
      <c r="Q1140" s="17">
        <v>196987.23282905211</v>
      </c>
      <c r="R1140" s="17">
        <v>133108.79999999999</v>
      </c>
      <c r="S1140" s="17">
        <v>63878.432829052152</v>
      </c>
      <c r="T1140" s="17">
        <v>4433.45</v>
      </c>
    </row>
    <row r="1141" spans="1:20" x14ac:dyDescent="0.3">
      <c r="A1141" s="13">
        <v>45961</v>
      </c>
      <c r="B1141" s="7" t="s">
        <v>135</v>
      </c>
      <c r="C1141" s="7" t="s">
        <v>29</v>
      </c>
      <c r="D1141" s="7" t="s">
        <v>103</v>
      </c>
      <c r="E1141" s="7" t="s">
        <v>30</v>
      </c>
      <c r="F1141" s="14">
        <v>810</v>
      </c>
      <c r="G1141" s="15">
        <v>185.8</v>
      </c>
      <c r="H1141" s="16">
        <v>4.6130142579881912E-2</v>
      </c>
      <c r="I1141" s="16">
        <v>2.2084365312950199E-2</v>
      </c>
      <c r="J1141" s="15">
        <v>127.59</v>
      </c>
      <c r="K1141" s="14">
        <v>63</v>
      </c>
      <c r="L1141" s="14">
        <v>4</v>
      </c>
      <c r="M1141" s="15">
        <v>5.21</v>
      </c>
      <c r="N1141" s="17">
        <v>150498</v>
      </c>
      <c r="O1141" s="17">
        <v>6942.4941979870673</v>
      </c>
      <c r="P1141" s="17">
        <v>3170.3322328169961</v>
      </c>
      <c r="Q1141" s="17">
        <v>140385.1735691959</v>
      </c>
      <c r="R1141" s="17">
        <v>103347.9</v>
      </c>
      <c r="S1141" s="17">
        <v>37037.273569195917</v>
      </c>
      <c r="T1141" s="17">
        <v>20.84</v>
      </c>
    </row>
    <row r="1142" spans="1:20" x14ac:dyDescent="0.3">
      <c r="A1142" s="13">
        <v>45961</v>
      </c>
      <c r="B1142" s="7" t="s">
        <v>135</v>
      </c>
      <c r="C1142" s="7" t="s">
        <v>29</v>
      </c>
      <c r="D1142" s="7" t="s">
        <v>104</v>
      </c>
      <c r="E1142" s="7" t="s">
        <v>25</v>
      </c>
      <c r="F1142" s="14">
        <v>2302</v>
      </c>
      <c r="G1142" s="15">
        <v>46.37</v>
      </c>
      <c r="H1142" s="16">
        <v>7.3284633486051881E-2</v>
      </c>
      <c r="I1142" s="16">
        <v>4.5737671099019009E-2</v>
      </c>
      <c r="J1142" s="15">
        <v>23.9</v>
      </c>
      <c r="K1142" s="14">
        <v>1624</v>
      </c>
      <c r="L1142" s="14">
        <v>606</v>
      </c>
      <c r="M1142" s="15">
        <v>38.86</v>
      </c>
      <c r="N1142" s="17">
        <v>106743.74</v>
      </c>
      <c r="O1142" s="17">
        <v>7822.6758628304151</v>
      </c>
      <c r="P1142" s="17">
        <v>4524.4190962708271</v>
      </c>
      <c r="Q1142" s="17">
        <v>94396.645040898758</v>
      </c>
      <c r="R1142" s="17">
        <v>55017.8</v>
      </c>
      <c r="S1142" s="17">
        <v>39378.845040898763</v>
      </c>
      <c r="T1142" s="17">
        <v>23549.16</v>
      </c>
    </row>
    <row r="1143" spans="1:20" x14ac:dyDescent="0.3">
      <c r="A1143" s="13">
        <v>45961</v>
      </c>
      <c r="B1143" s="7" t="s">
        <v>135</v>
      </c>
      <c r="C1143" s="7" t="s">
        <v>29</v>
      </c>
      <c r="D1143" s="7" t="s">
        <v>104</v>
      </c>
      <c r="E1143" s="7" t="s">
        <v>28</v>
      </c>
      <c r="F1143" s="14">
        <v>794</v>
      </c>
      <c r="G1143" s="15">
        <v>45.27</v>
      </c>
      <c r="H1143" s="16">
        <v>0.1140845420305719</v>
      </c>
      <c r="I1143" s="16">
        <v>5.9041832507529798E-2</v>
      </c>
      <c r="J1143" s="15">
        <v>22.07</v>
      </c>
      <c r="K1143" s="14">
        <v>659</v>
      </c>
      <c r="L1143" s="14">
        <v>206</v>
      </c>
      <c r="M1143" s="15">
        <v>14.76</v>
      </c>
      <c r="N1143" s="17">
        <v>35944.379999999997</v>
      </c>
      <c r="O1143" s="17">
        <v>4100.6981308728473</v>
      </c>
      <c r="P1143" s="17">
        <v>1880.109331340069</v>
      </c>
      <c r="Q1143" s="17">
        <v>29963.572537787091</v>
      </c>
      <c r="R1143" s="17">
        <v>17523.580000000002</v>
      </c>
      <c r="S1143" s="17">
        <v>12439.99253778709</v>
      </c>
      <c r="T1143" s="17">
        <v>3040.56</v>
      </c>
    </row>
    <row r="1144" spans="1:20" x14ac:dyDescent="0.3">
      <c r="A1144" s="13">
        <v>45961</v>
      </c>
      <c r="B1144" s="7" t="s">
        <v>135</v>
      </c>
      <c r="C1144" s="7" t="s">
        <v>29</v>
      </c>
      <c r="D1144" s="7" t="s">
        <v>104</v>
      </c>
      <c r="E1144" s="7" t="s">
        <v>30</v>
      </c>
      <c r="F1144" s="14">
        <v>735</v>
      </c>
      <c r="G1144" s="15">
        <v>38.51</v>
      </c>
      <c r="H1144" s="16">
        <v>5.4734182677288377E-2</v>
      </c>
      <c r="I1144" s="16">
        <v>1.4243866712464279E-2</v>
      </c>
      <c r="J1144" s="15">
        <v>23.7</v>
      </c>
      <c r="K1144" s="14">
        <v>62</v>
      </c>
      <c r="L1144" s="14">
        <v>3</v>
      </c>
      <c r="M1144" s="15">
        <v>4.66</v>
      </c>
      <c r="N1144" s="17">
        <v>28304.85</v>
      </c>
      <c r="O1144" s="17">
        <v>1549.242830553246</v>
      </c>
      <c r="P1144" s="17">
        <v>381.10330233265319</v>
      </c>
      <c r="Q1144" s="17">
        <v>26374.503867114101</v>
      </c>
      <c r="R1144" s="17">
        <v>17419.5</v>
      </c>
      <c r="S1144" s="17">
        <v>8955.003867114101</v>
      </c>
      <c r="T1144" s="17">
        <v>13.98</v>
      </c>
    </row>
    <row r="1145" spans="1:20" x14ac:dyDescent="0.3">
      <c r="A1145" s="13">
        <v>45961</v>
      </c>
      <c r="B1145" s="7" t="s">
        <v>135</v>
      </c>
      <c r="C1145" s="7" t="s">
        <v>31</v>
      </c>
      <c r="D1145" s="7" t="s">
        <v>102</v>
      </c>
      <c r="E1145" s="7" t="s">
        <v>25</v>
      </c>
      <c r="F1145" s="14">
        <v>3017</v>
      </c>
      <c r="G1145" s="15">
        <v>114.55</v>
      </c>
      <c r="H1145" s="16">
        <v>6.9000944707688139E-2</v>
      </c>
      <c r="I1145" s="16">
        <v>3.6115200932285187E-2</v>
      </c>
      <c r="J1145" s="15">
        <v>70.290000000000006</v>
      </c>
      <c r="K1145" s="14">
        <v>2036</v>
      </c>
      <c r="L1145" s="14">
        <v>726</v>
      </c>
      <c r="M1145" s="15">
        <v>33.92</v>
      </c>
      <c r="N1145" s="17">
        <v>345597.35</v>
      </c>
      <c r="O1145" s="17">
        <v>23846.54363847354</v>
      </c>
      <c r="P1145" s="17">
        <v>11620.09502187131</v>
      </c>
      <c r="Q1145" s="17">
        <v>310130.7113396551</v>
      </c>
      <c r="R1145" s="17">
        <v>212064.93</v>
      </c>
      <c r="S1145" s="17">
        <v>98065.781339655077</v>
      </c>
      <c r="T1145" s="17">
        <v>24625.919999999998</v>
      </c>
    </row>
    <row r="1146" spans="1:20" x14ac:dyDescent="0.3">
      <c r="A1146" s="13">
        <v>45961</v>
      </c>
      <c r="B1146" s="7" t="s">
        <v>135</v>
      </c>
      <c r="C1146" s="7" t="s">
        <v>31</v>
      </c>
      <c r="D1146" s="7" t="s">
        <v>102</v>
      </c>
      <c r="E1146" s="7" t="s">
        <v>28</v>
      </c>
      <c r="F1146" s="14">
        <v>1060</v>
      </c>
      <c r="G1146" s="15">
        <v>109.99</v>
      </c>
      <c r="H1146" s="16">
        <v>9.8661950534624968E-2</v>
      </c>
      <c r="I1146" s="16">
        <v>8.4154394707243063E-2</v>
      </c>
      <c r="J1146" s="15">
        <v>68.75</v>
      </c>
      <c r="K1146" s="14">
        <v>881</v>
      </c>
      <c r="L1146" s="14">
        <v>237</v>
      </c>
      <c r="M1146" s="15">
        <v>12.14</v>
      </c>
      <c r="N1146" s="17">
        <v>116589.4</v>
      </c>
      <c r="O1146" s="17">
        <v>11502.9376156616</v>
      </c>
      <c r="P1146" s="17">
        <v>8843.4876338794638</v>
      </c>
      <c r="Q1146" s="17">
        <v>96242.974750458932</v>
      </c>
      <c r="R1146" s="17">
        <v>72875</v>
      </c>
      <c r="S1146" s="17">
        <v>23367.974750458929</v>
      </c>
      <c r="T1146" s="17">
        <v>2877.18</v>
      </c>
    </row>
    <row r="1147" spans="1:20" x14ac:dyDescent="0.3">
      <c r="A1147" s="13">
        <v>45961</v>
      </c>
      <c r="B1147" s="7" t="s">
        <v>135</v>
      </c>
      <c r="C1147" s="7" t="s">
        <v>31</v>
      </c>
      <c r="D1147" s="7" t="s">
        <v>102</v>
      </c>
      <c r="E1147" s="7" t="s">
        <v>30</v>
      </c>
      <c r="F1147" s="14">
        <v>978</v>
      </c>
      <c r="G1147" s="15">
        <v>91.38</v>
      </c>
      <c r="H1147" s="16">
        <v>6.1530475480132178E-2</v>
      </c>
      <c r="I1147" s="16">
        <v>2.707055195303391E-2</v>
      </c>
      <c r="J1147" s="15">
        <v>65.47</v>
      </c>
      <c r="K1147" s="14">
        <v>83</v>
      </c>
      <c r="L1147" s="14">
        <v>5</v>
      </c>
      <c r="M1147" s="15">
        <v>4.59</v>
      </c>
      <c r="N1147" s="17">
        <v>89369.64</v>
      </c>
      <c r="O1147" s="17">
        <v>5498.9564426882398</v>
      </c>
      <c r="P1147" s="17">
        <v>2270.425696574674</v>
      </c>
      <c r="Q1147" s="17">
        <v>81600.257860737082</v>
      </c>
      <c r="R1147" s="17">
        <v>64029.66</v>
      </c>
      <c r="S1147" s="17">
        <v>17570.597860737089</v>
      </c>
      <c r="T1147" s="17">
        <v>22.95</v>
      </c>
    </row>
    <row r="1148" spans="1:20" x14ac:dyDescent="0.3">
      <c r="A1148" s="13">
        <v>45961</v>
      </c>
      <c r="B1148" s="7" t="s">
        <v>135</v>
      </c>
      <c r="C1148" s="7" t="s">
        <v>31</v>
      </c>
      <c r="D1148" s="7" t="s">
        <v>103</v>
      </c>
      <c r="E1148" s="7" t="s">
        <v>25</v>
      </c>
      <c r="F1148" s="14">
        <v>1475</v>
      </c>
      <c r="G1148" s="15">
        <v>210.94</v>
      </c>
      <c r="H1148" s="16">
        <v>5.8230581775434317E-2</v>
      </c>
      <c r="I1148" s="16">
        <v>2.2952242557719559E-2</v>
      </c>
      <c r="J1148" s="15">
        <v>125.11</v>
      </c>
      <c r="K1148" s="14">
        <v>998</v>
      </c>
      <c r="L1148" s="14">
        <v>368</v>
      </c>
      <c r="M1148" s="15">
        <v>21.38</v>
      </c>
      <c r="N1148" s="17">
        <v>311136.5</v>
      </c>
      <c r="O1148" s="17">
        <v>18117.65940657242</v>
      </c>
      <c r="P1148" s="17">
        <v>6725.4395032821121</v>
      </c>
      <c r="Q1148" s="17">
        <v>286293.40109014552</v>
      </c>
      <c r="R1148" s="17">
        <v>184537.25</v>
      </c>
      <c r="S1148" s="17">
        <v>101756.1510901455</v>
      </c>
      <c r="T1148" s="17">
        <v>7867.8399999999992</v>
      </c>
    </row>
    <row r="1149" spans="1:20" x14ac:dyDescent="0.3">
      <c r="A1149" s="13">
        <v>45961</v>
      </c>
      <c r="B1149" s="7" t="s">
        <v>135</v>
      </c>
      <c r="C1149" s="7" t="s">
        <v>31</v>
      </c>
      <c r="D1149" s="7" t="s">
        <v>103</v>
      </c>
      <c r="E1149" s="7" t="s">
        <v>28</v>
      </c>
      <c r="F1149" s="14">
        <v>520</v>
      </c>
      <c r="G1149" s="15">
        <v>195.08</v>
      </c>
      <c r="H1149" s="16">
        <v>0.1181976878258738</v>
      </c>
      <c r="I1149" s="16">
        <v>6.7993375803405601E-2</v>
      </c>
      <c r="J1149" s="15">
        <v>119.04</v>
      </c>
      <c r="K1149" s="14">
        <v>449</v>
      </c>
      <c r="L1149" s="14">
        <v>123</v>
      </c>
      <c r="M1149" s="15">
        <v>21.9</v>
      </c>
      <c r="N1149" s="17">
        <v>101441.60000000001</v>
      </c>
      <c r="O1149" s="17">
        <v>11990.16256935716</v>
      </c>
      <c r="P1149" s="17">
        <v>6082.1052013765211</v>
      </c>
      <c r="Q1149" s="17">
        <v>83369.332229266322</v>
      </c>
      <c r="R1149" s="17">
        <v>61900.800000000003</v>
      </c>
      <c r="S1149" s="17">
        <v>21468.532229266319</v>
      </c>
      <c r="T1149" s="17">
        <v>2693.7</v>
      </c>
    </row>
    <row r="1150" spans="1:20" x14ac:dyDescent="0.3">
      <c r="A1150" s="13">
        <v>45961</v>
      </c>
      <c r="B1150" s="7" t="s">
        <v>135</v>
      </c>
      <c r="C1150" s="7" t="s">
        <v>31</v>
      </c>
      <c r="D1150" s="7" t="s">
        <v>103</v>
      </c>
      <c r="E1150" s="7" t="s">
        <v>30</v>
      </c>
      <c r="F1150" s="14">
        <v>494</v>
      </c>
      <c r="G1150" s="15">
        <v>172.4</v>
      </c>
      <c r="H1150" s="16">
        <v>5.2147900579665431E-2</v>
      </c>
      <c r="I1150" s="16">
        <v>1.9057025854262558E-2</v>
      </c>
      <c r="J1150" s="15">
        <v>124.7</v>
      </c>
      <c r="K1150" s="14">
        <v>42</v>
      </c>
      <c r="L1150" s="14">
        <v>2</v>
      </c>
      <c r="M1150" s="15">
        <v>3.62</v>
      </c>
      <c r="N1150" s="17">
        <v>85165.6</v>
      </c>
      <c r="O1150" s="17">
        <v>4441.2072416075544</v>
      </c>
      <c r="P1150" s="17">
        <v>1538.3668398663301</v>
      </c>
      <c r="Q1150" s="17">
        <v>79186.025918526124</v>
      </c>
      <c r="R1150" s="17">
        <v>61601.8</v>
      </c>
      <c r="S1150" s="17">
        <v>17584.225918526121</v>
      </c>
      <c r="T1150" s="17">
        <v>7.24</v>
      </c>
    </row>
    <row r="1151" spans="1:20" x14ac:dyDescent="0.3">
      <c r="A1151" s="13">
        <v>45961</v>
      </c>
      <c r="B1151" s="7" t="s">
        <v>135</v>
      </c>
      <c r="C1151" s="7" t="s">
        <v>31</v>
      </c>
      <c r="D1151" s="7" t="s">
        <v>104</v>
      </c>
      <c r="E1151" s="7" t="s">
        <v>25</v>
      </c>
      <c r="F1151" s="14">
        <v>669</v>
      </c>
      <c r="G1151" s="15">
        <v>42.77</v>
      </c>
      <c r="H1151" s="16">
        <v>5.1435404448668821E-2</v>
      </c>
      <c r="I1151" s="16">
        <v>4.0195458447981808E-2</v>
      </c>
      <c r="J1151" s="15">
        <v>22.2</v>
      </c>
      <c r="K1151" s="14">
        <v>465</v>
      </c>
      <c r="L1151" s="14">
        <v>171</v>
      </c>
      <c r="M1151" s="15">
        <v>35.76</v>
      </c>
      <c r="N1151" s="17">
        <v>28613.13</v>
      </c>
      <c r="O1151" s="17">
        <v>1471.727914092339</v>
      </c>
      <c r="P1151" s="17">
        <v>1090.961099764068</v>
      </c>
      <c r="Q1151" s="17">
        <v>26050.440986143589</v>
      </c>
      <c r="R1151" s="17">
        <v>14851.8</v>
      </c>
      <c r="S1151" s="17">
        <v>11198.64098614359</v>
      </c>
      <c r="T1151" s="17">
        <v>6114.96</v>
      </c>
    </row>
    <row r="1152" spans="1:20" x14ac:dyDescent="0.3">
      <c r="A1152" s="13">
        <v>45961</v>
      </c>
      <c r="B1152" s="7" t="s">
        <v>135</v>
      </c>
      <c r="C1152" s="7" t="s">
        <v>31</v>
      </c>
      <c r="D1152" s="7" t="s">
        <v>104</v>
      </c>
      <c r="E1152" s="7" t="s">
        <v>28</v>
      </c>
      <c r="F1152" s="14">
        <v>403</v>
      </c>
      <c r="G1152" s="15">
        <v>39.51</v>
      </c>
      <c r="H1152" s="16">
        <v>0.10804583828271359</v>
      </c>
      <c r="I1152" s="16">
        <v>3.4932792528069773E-2</v>
      </c>
      <c r="J1152" s="15">
        <v>21.68</v>
      </c>
      <c r="K1152" s="14">
        <v>334</v>
      </c>
      <c r="L1152" s="14">
        <v>107</v>
      </c>
      <c r="M1152" s="15">
        <v>14.07</v>
      </c>
      <c r="N1152" s="17">
        <v>15922.53</v>
      </c>
      <c r="O1152" s="17">
        <v>1720.3631014316561</v>
      </c>
      <c r="P1152" s="17">
        <v>496.12134971670798</v>
      </c>
      <c r="Q1152" s="17">
        <v>13706.045548851631</v>
      </c>
      <c r="R1152" s="17">
        <v>8737.0399999999991</v>
      </c>
      <c r="S1152" s="17">
        <v>4969.0055488516346</v>
      </c>
      <c r="T1152" s="17">
        <v>1505.49</v>
      </c>
    </row>
    <row r="1153" spans="1:20" x14ac:dyDescent="0.3">
      <c r="A1153" s="13">
        <v>45961</v>
      </c>
      <c r="B1153" s="7" t="s">
        <v>135</v>
      </c>
      <c r="C1153" s="7" t="s">
        <v>31</v>
      </c>
      <c r="D1153" s="7" t="s">
        <v>104</v>
      </c>
      <c r="E1153" s="7" t="s">
        <v>30</v>
      </c>
      <c r="F1153" s="14">
        <v>366</v>
      </c>
      <c r="G1153" s="15">
        <v>34.65</v>
      </c>
      <c r="H1153" s="16">
        <v>4.7752298780503327E-2</v>
      </c>
      <c r="I1153" s="16">
        <v>1.6182673483454441E-2</v>
      </c>
      <c r="J1153" s="15">
        <v>22.49</v>
      </c>
      <c r="K1153" s="14">
        <v>30</v>
      </c>
      <c r="L1153" s="14">
        <v>2</v>
      </c>
      <c r="M1153" s="15">
        <v>4.1100000000000003</v>
      </c>
      <c r="N1153" s="17">
        <v>12681.9</v>
      </c>
      <c r="O1153" s="17">
        <v>605.5898779044652</v>
      </c>
      <c r="P1153" s="17">
        <v>195.42698359080791</v>
      </c>
      <c r="Q1153" s="17">
        <v>11880.883138504731</v>
      </c>
      <c r="R1153" s="17">
        <v>8231.34</v>
      </c>
      <c r="S1153" s="17">
        <v>3649.5431385047268</v>
      </c>
      <c r="T1153" s="17">
        <v>8.2200000000000006</v>
      </c>
    </row>
    <row r="1154" spans="1:20" x14ac:dyDescent="0.3">
      <c r="A1154" s="13">
        <v>45991</v>
      </c>
      <c r="B1154" s="7" t="s">
        <v>136</v>
      </c>
      <c r="C1154" s="7" t="s">
        <v>24</v>
      </c>
      <c r="D1154" s="7" t="s">
        <v>102</v>
      </c>
      <c r="E1154" s="7" t="s">
        <v>25</v>
      </c>
      <c r="F1154" s="14">
        <v>8360</v>
      </c>
      <c r="G1154" s="15">
        <v>130.63999999999999</v>
      </c>
      <c r="H1154" s="16">
        <v>7.2249138030540436E-2</v>
      </c>
      <c r="I1154" s="16">
        <v>4.2190715625376678E-2</v>
      </c>
      <c r="J1154" s="15">
        <v>73.56</v>
      </c>
      <c r="K1154" s="14">
        <v>5580</v>
      </c>
      <c r="L1154" s="14">
        <v>2334</v>
      </c>
      <c r="M1154" s="15">
        <v>27.19</v>
      </c>
      <c r="N1154" s="17">
        <v>1092150.3999999999</v>
      </c>
      <c r="O1154" s="17">
        <v>78906.92499970994</v>
      </c>
      <c r="P1154" s="17">
        <v>42749.467313005713</v>
      </c>
      <c r="Q1154" s="17">
        <v>970494.00768728426</v>
      </c>
      <c r="R1154" s="17">
        <v>614961.6</v>
      </c>
      <c r="S1154" s="17">
        <v>355532.40768728429</v>
      </c>
      <c r="T1154" s="17">
        <v>63461.460000000006</v>
      </c>
    </row>
    <row r="1155" spans="1:20" x14ac:dyDescent="0.3">
      <c r="A1155" s="13">
        <v>45991</v>
      </c>
      <c r="B1155" s="7" t="s">
        <v>136</v>
      </c>
      <c r="C1155" s="7" t="s">
        <v>24</v>
      </c>
      <c r="D1155" s="7" t="s">
        <v>102</v>
      </c>
      <c r="E1155" s="7" t="s">
        <v>28</v>
      </c>
      <c r="F1155" s="14">
        <v>4218</v>
      </c>
      <c r="G1155" s="15">
        <v>118.17</v>
      </c>
      <c r="H1155" s="16">
        <v>0.14688677566209959</v>
      </c>
      <c r="I1155" s="16">
        <v>6.9166063576658568E-2</v>
      </c>
      <c r="J1155" s="15">
        <v>72.91</v>
      </c>
      <c r="K1155" s="14">
        <v>3904</v>
      </c>
      <c r="L1155" s="14">
        <v>1154</v>
      </c>
      <c r="M1155" s="15">
        <v>14.98</v>
      </c>
      <c r="N1155" s="17">
        <v>498441.06</v>
      </c>
      <c r="O1155" s="17">
        <v>73214.400160999139</v>
      </c>
      <c r="P1155" s="17">
        <v>29411.2541889145</v>
      </c>
      <c r="Q1155" s="17">
        <v>395815.40565008641</v>
      </c>
      <c r="R1155" s="17">
        <v>307534.38</v>
      </c>
      <c r="S1155" s="17">
        <v>88281.025650086347</v>
      </c>
      <c r="T1155" s="17">
        <v>17286.919999999998</v>
      </c>
    </row>
    <row r="1156" spans="1:20" x14ac:dyDescent="0.3">
      <c r="A1156" s="13">
        <v>45991</v>
      </c>
      <c r="B1156" s="7" t="s">
        <v>136</v>
      </c>
      <c r="C1156" s="7" t="s">
        <v>24</v>
      </c>
      <c r="D1156" s="7" t="s">
        <v>102</v>
      </c>
      <c r="E1156" s="7" t="s">
        <v>30</v>
      </c>
      <c r="F1156" s="14">
        <v>4640</v>
      </c>
      <c r="G1156" s="15">
        <v>113.14</v>
      </c>
      <c r="H1156" s="16">
        <v>6.5443100146732464E-2</v>
      </c>
      <c r="I1156" s="16">
        <v>2.7477858682412131E-2</v>
      </c>
      <c r="J1156" s="15">
        <v>77.48</v>
      </c>
      <c r="K1156" s="14">
        <v>383</v>
      </c>
      <c r="L1156" s="14">
        <v>20</v>
      </c>
      <c r="M1156" s="15">
        <v>4.0999999999999996</v>
      </c>
      <c r="N1156" s="17">
        <v>524969.6</v>
      </c>
      <c r="O1156" s="17">
        <v>34355.63810679008</v>
      </c>
      <c r="P1156" s="17">
        <v>13481.021112519949</v>
      </c>
      <c r="Q1156" s="17">
        <v>477132.94078068988</v>
      </c>
      <c r="R1156" s="17">
        <v>359507.20000000001</v>
      </c>
      <c r="S1156" s="17">
        <v>117625.7407806899</v>
      </c>
      <c r="T1156" s="17">
        <v>82</v>
      </c>
    </row>
    <row r="1157" spans="1:20" x14ac:dyDescent="0.3">
      <c r="A1157" s="13">
        <v>45991</v>
      </c>
      <c r="B1157" s="7" t="s">
        <v>136</v>
      </c>
      <c r="C1157" s="7" t="s">
        <v>24</v>
      </c>
      <c r="D1157" s="7" t="s">
        <v>103</v>
      </c>
      <c r="E1157" s="7" t="s">
        <v>25</v>
      </c>
      <c r="F1157" s="14">
        <v>6188</v>
      </c>
      <c r="G1157" s="15">
        <v>239.56</v>
      </c>
      <c r="H1157" s="16">
        <v>9.5368106273979764E-2</v>
      </c>
      <c r="I1157" s="16">
        <v>3.5372633520036618E-2</v>
      </c>
      <c r="J1157" s="15">
        <v>126.74</v>
      </c>
      <c r="K1157" s="14">
        <v>4156</v>
      </c>
      <c r="L1157" s="14">
        <v>1402</v>
      </c>
      <c r="M1157" s="15">
        <v>38.590000000000003</v>
      </c>
      <c r="N1157" s="17">
        <v>1482397.28</v>
      </c>
      <c r="O1157" s="17">
        <v>141373.42133929851</v>
      </c>
      <c r="P1157" s="17">
        <v>47435.545494030383</v>
      </c>
      <c r="Q1157" s="17">
        <v>1293588.313166671</v>
      </c>
      <c r="R1157" s="17">
        <v>784267.12</v>
      </c>
      <c r="S1157" s="17">
        <v>509321.19316667097</v>
      </c>
      <c r="T1157" s="17">
        <v>54103.180000000008</v>
      </c>
    </row>
    <row r="1158" spans="1:20" x14ac:dyDescent="0.3">
      <c r="A1158" s="13">
        <v>45991</v>
      </c>
      <c r="B1158" s="7" t="s">
        <v>136</v>
      </c>
      <c r="C1158" s="7" t="s">
        <v>24</v>
      </c>
      <c r="D1158" s="7" t="s">
        <v>103</v>
      </c>
      <c r="E1158" s="7" t="s">
        <v>28</v>
      </c>
      <c r="F1158" s="14">
        <v>2381</v>
      </c>
      <c r="G1158" s="15">
        <v>228.73</v>
      </c>
      <c r="H1158" s="16">
        <v>7.4611113573683219E-2</v>
      </c>
      <c r="I1158" s="16">
        <v>6.6425293706571728E-2</v>
      </c>
      <c r="J1158" s="15">
        <v>129.43</v>
      </c>
      <c r="K1158" s="14">
        <v>1917</v>
      </c>
      <c r="L1158" s="14">
        <v>599</v>
      </c>
      <c r="M1158" s="15">
        <v>18.07</v>
      </c>
      <c r="N1158" s="17">
        <v>544606.13</v>
      </c>
      <c r="O1158" s="17">
        <v>40633.669818354087</v>
      </c>
      <c r="P1158" s="17">
        <v>33476.518687589363</v>
      </c>
      <c r="Q1158" s="17">
        <v>470495.94149405661</v>
      </c>
      <c r="R1158" s="17">
        <v>308172.83</v>
      </c>
      <c r="S1158" s="17">
        <v>162323.11149405659</v>
      </c>
      <c r="T1158" s="17">
        <v>10823.93</v>
      </c>
    </row>
    <row r="1159" spans="1:20" x14ac:dyDescent="0.3">
      <c r="A1159" s="13">
        <v>45991</v>
      </c>
      <c r="B1159" s="7" t="s">
        <v>136</v>
      </c>
      <c r="C1159" s="7" t="s">
        <v>24</v>
      </c>
      <c r="D1159" s="7" t="s">
        <v>103</v>
      </c>
      <c r="E1159" s="7" t="s">
        <v>30</v>
      </c>
      <c r="F1159" s="14">
        <v>2194</v>
      </c>
      <c r="G1159" s="15">
        <v>190.77</v>
      </c>
      <c r="H1159" s="16">
        <v>7.427444902568775E-2</v>
      </c>
      <c r="I1159" s="16">
        <v>2.976529847769948E-2</v>
      </c>
      <c r="J1159" s="15">
        <v>124.1</v>
      </c>
      <c r="K1159" s="14">
        <v>178</v>
      </c>
      <c r="L1159" s="14">
        <v>11</v>
      </c>
      <c r="M1159" s="15">
        <v>4.32</v>
      </c>
      <c r="N1159" s="17">
        <v>418549.38</v>
      </c>
      <c r="O1159" s="17">
        <v>31087.524589543209</v>
      </c>
      <c r="P1159" s="17">
        <v>11532.91777501549</v>
      </c>
      <c r="Q1159" s="17">
        <v>375928.93763544131</v>
      </c>
      <c r="R1159" s="17">
        <v>272275.40000000002</v>
      </c>
      <c r="S1159" s="17">
        <v>103653.5376354413</v>
      </c>
      <c r="T1159" s="17">
        <v>47.52</v>
      </c>
    </row>
    <row r="1160" spans="1:20" x14ac:dyDescent="0.3">
      <c r="A1160" s="13">
        <v>45991</v>
      </c>
      <c r="B1160" s="7" t="s">
        <v>136</v>
      </c>
      <c r="C1160" s="7" t="s">
        <v>24</v>
      </c>
      <c r="D1160" s="7" t="s">
        <v>104</v>
      </c>
      <c r="E1160" s="7" t="s">
        <v>25</v>
      </c>
      <c r="F1160" s="14">
        <v>3617</v>
      </c>
      <c r="G1160" s="15">
        <v>50.05</v>
      </c>
      <c r="H1160" s="16">
        <v>0.1014323392638337</v>
      </c>
      <c r="I1160" s="16">
        <v>4.5343472134537849E-2</v>
      </c>
      <c r="J1160" s="15">
        <v>22.21</v>
      </c>
      <c r="K1160" s="14">
        <v>2507</v>
      </c>
      <c r="L1160" s="14">
        <v>892</v>
      </c>
      <c r="M1160" s="15">
        <v>37.729999999999997</v>
      </c>
      <c r="N1160" s="17">
        <v>181030.85</v>
      </c>
      <c r="O1160" s="17">
        <v>18362.382594420189</v>
      </c>
      <c r="P1160" s="17">
        <v>7375.953118972885</v>
      </c>
      <c r="Q1160" s="17">
        <v>155292.51428660689</v>
      </c>
      <c r="R1160" s="17">
        <v>80333.570000000007</v>
      </c>
      <c r="S1160" s="17">
        <v>74958.944286606886</v>
      </c>
      <c r="T1160" s="17">
        <v>33655.160000000003</v>
      </c>
    </row>
    <row r="1161" spans="1:20" x14ac:dyDescent="0.3">
      <c r="A1161" s="13">
        <v>45991</v>
      </c>
      <c r="B1161" s="7" t="s">
        <v>136</v>
      </c>
      <c r="C1161" s="7" t="s">
        <v>24</v>
      </c>
      <c r="D1161" s="7" t="s">
        <v>104</v>
      </c>
      <c r="E1161" s="7" t="s">
        <v>28</v>
      </c>
      <c r="F1161" s="14">
        <v>2212</v>
      </c>
      <c r="G1161" s="15">
        <v>46.81</v>
      </c>
      <c r="H1161" s="16">
        <v>0.13858300916627511</v>
      </c>
      <c r="I1161" s="16">
        <v>8.8852702314051818E-2</v>
      </c>
      <c r="J1161" s="15">
        <v>22.78</v>
      </c>
      <c r="K1161" s="14">
        <v>1905</v>
      </c>
      <c r="L1161" s="14">
        <v>584</v>
      </c>
      <c r="M1161" s="15">
        <v>21.49</v>
      </c>
      <c r="N1161" s="17">
        <v>103543.72</v>
      </c>
      <c r="O1161" s="17">
        <v>14349.40029787023</v>
      </c>
      <c r="P1161" s="17">
        <v>7925.1563365977036</v>
      </c>
      <c r="Q1161" s="17">
        <v>81269.163365532077</v>
      </c>
      <c r="R1161" s="17">
        <v>50389.36</v>
      </c>
      <c r="S1161" s="17">
        <v>30879.80336553208</v>
      </c>
      <c r="T1161" s="17">
        <v>12550.16</v>
      </c>
    </row>
    <row r="1162" spans="1:20" x14ac:dyDescent="0.3">
      <c r="A1162" s="13">
        <v>45991</v>
      </c>
      <c r="B1162" s="7" t="s">
        <v>136</v>
      </c>
      <c r="C1162" s="7" t="s">
        <v>24</v>
      </c>
      <c r="D1162" s="7" t="s">
        <v>104</v>
      </c>
      <c r="E1162" s="7" t="s">
        <v>30</v>
      </c>
      <c r="F1162" s="14">
        <v>1472</v>
      </c>
      <c r="G1162" s="15">
        <v>40.32</v>
      </c>
      <c r="H1162" s="16">
        <v>5.9528717941331639E-2</v>
      </c>
      <c r="I1162" s="16">
        <v>1.7680727852470272E-2</v>
      </c>
      <c r="J1162" s="15">
        <v>22.68</v>
      </c>
      <c r="K1162" s="14">
        <v>122</v>
      </c>
      <c r="L1162" s="14">
        <v>7</v>
      </c>
      <c r="M1162" s="15">
        <v>4.5999999999999996</v>
      </c>
      <c r="N1162" s="17">
        <v>59351.040000000001</v>
      </c>
      <c r="O1162" s="17">
        <v>3533.0913196846918</v>
      </c>
      <c r="P1162" s="17">
        <v>986.90195989980714</v>
      </c>
      <c r="Q1162" s="17">
        <v>54831.046720415507</v>
      </c>
      <c r="R1162" s="17">
        <v>33384.959999999999</v>
      </c>
      <c r="S1162" s="17">
        <v>21446.086720415511</v>
      </c>
      <c r="T1162" s="17">
        <v>32.200000000000003</v>
      </c>
    </row>
    <row r="1163" spans="1:20" x14ac:dyDescent="0.3">
      <c r="A1163" s="13">
        <v>45991</v>
      </c>
      <c r="B1163" s="7" t="s">
        <v>136</v>
      </c>
      <c r="C1163" s="7" t="s">
        <v>27</v>
      </c>
      <c r="D1163" s="7" t="s">
        <v>102</v>
      </c>
      <c r="E1163" s="7" t="s">
        <v>25</v>
      </c>
      <c r="F1163" s="14">
        <v>7354</v>
      </c>
      <c r="G1163" s="15">
        <v>137.47999999999999</v>
      </c>
      <c r="H1163" s="16">
        <v>9.4885842654862107E-2</v>
      </c>
      <c r="I1163" s="16">
        <v>3.202561882929901E-2</v>
      </c>
      <c r="J1163" s="15">
        <v>80.11</v>
      </c>
      <c r="K1163" s="14">
        <v>5091</v>
      </c>
      <c r="L1163" s="14">
        <v>1747</v>
      </c>
      <c r="M1163" s="15">
        <v>33.299999999999997</v>
      </c>
      <c r="N1163" s="17">
        <v>1011027.92</v>
      </c>
      <c r="O1163" s="17">
        <v>95932.236136792504</v>
      </c>
      <c r="P1163" s="17">
        <v>29306.505563739789</v>
      </c>
      <c r="Q1163" s="17">
        <v>885789.17829946766</v>
      </c>
      <c r="R1163" s="17">
        <v>589128.93999999994</v>
      </c>
      <c r="S1163" s="17">
        <v>296660.23829946772</v>
      </c>
      <c r="T1163" s="17">
        <v>58175.1</v>
      </c>
    </row>
    <row r="1164" spans="1:20" x14ac:dyDescent="0.3">
      <c r="A1164" s="13">
        <v>45991</v>
      </c>
      <c r="B1164" s="7" t="s">
        <v>136</v>
      </c>
      <c r="C1164" s="7" t="s">
        <v>27</v>
      </c>
      <c r="D1164" s="7" t="s">
        <v>102</v>
      </c>
      <c r="E1164" s="7" t="s">
        <v>28</v>
      </c>
      <c r="F1164" s="14">
        <v>4012</v>
      </c>
      <c r="G1164" s="15">
        <v>132.15</v>
      </c>
      <c r="H1164" s="16">
        <v>0.13569064654077859</v>
      </c>
      <c r="I1164" s="16">
        <v>6.7642703458945283E-2</v>
      </c>
      <c r="J1164" s="15">
        <v>77.17</v>
      </c>
      <c r="K1164" s="14">
        <v>3532</v>
      </c>
      <c r="L1164" s="14">
        <v>1040</v>
      </c>
      <c r="M1164" s="15">
        <v>22.51</v>
      </c>
      <c r="N1164" s="17">
        <v>530185.80000000005</v>
      </c>
      <c r="O1164" s="17">
        <v>71941.253988739962</v>
      </c>
      <c r="P1164" s="17">
        <v>30996.899937518669</v>
      </c>
      <c r="Q1164" s="17">
        <v>427247.64607374137</v>
      </c>
      <c r="R1164" s="17">
        <v>309606.03999999998</v>
      </c>
      <c r="S1164" s="17">
        <v>117641.60607374139</v>
      </c>
      <c r="T1164" s="17">
        <v>23410.400000000001</v>
      </c>
    </row>
    <row r="1165" spans="1:20" x14ac:dyDescent="0.3">
      <c r="A1165" s="13">
        <v>45991</v>
      </c>
      <c r="B1165" s="7" t="s">
        <v>136</v>
      </c>
      <c r="C1165" s="7" t="s">
        <v>27</v>
      </c>
      <c r="D1165" s="7" t="s">
        <v>102</v>
      </c>
      <c r="E1165" s="7" t="s">
        <v>30</v>
      </c>
      <c r="F1165" s="14">
        <v>2769</v>
      </c>
      <c r="G1165" s="15">
        <v>114.23</v>
      </c>
      <c r="H1165" s="16">
        <v>7.0814646589607122E-2</v>
      </c>
      <c r="I1165" s="16">
        <v>2.698380088699245E-2</v>
      </c>
      <c r="J1165" s="15">
        <v>78.64</v>
      </c>
      <c r="K1165" s="14">
        <v>231</v>
      </c>
      <c r="L1165" s="14">
        <v>14</v>
      </c>
      <c r="M1165" s="15">
        <v>5.03</v>
      </c>
      <c r="N1165" s="17">
        <v>316302.87</v>
      </c>
      <c r="O1165" s="17">
        <v>22398.87595432844</v>
      </c>
      <c r="P1165" s="17">
        <v>7930.6468552202168</v>
      </c>
      <c r="Q1165" s="17">
        <v>285973.34719045128</v>
      </c>
      <c r="R1165" s="17">
        <v>217754.16</v>
      </c>
      <c r="S1165" s="17">
        <v>68219.187190451339</v>
      </c>
      <c r="T1165" s="17">
        <v>70.42</v>
      </c>
    </row>
    <row r="1166" spans="1:20" x14ac:dyDescent="0.3">
      <c r="A1166" s="13">
        <v>45991</v>
      </c>
      <c r="B1166" s="7" t="s">
        <v>136</v>
      </c>
      <c r="C1166" s="7" t="s">
        <v>27</v>
      </c>
      <c r="D1166" s="7" t="s">
        <v>103</v>
      </c>
      <c r="E1166" s="7" t="s">
        <v>25</v>
      </c>
      <c r="F1166" s="14">
        <v>3493</v>
      </c>
      <c r="G1166" s="15">
        <v>265.49</v>
      </c>
      <c r="H1166" s="16">
        <v>8.5519824365403271E-2</v>
      </c>
      <c r="I1166" s="16">
        <v>4.324781594110115E-2</v>
      </c>
      <c r="J1166" s="15">
        <v>134.96</v>
      </c>
      <c r="K1166" s="14">
        <v>2441</v>
      </c>
      <c r="L1166" s="14">
        <v>969</v>
      </c>
      <c r="M1166" s="15">
        <v>26.2</v>
      </c>
      <c r="N1166" s="17">
        <v>927356.57000000007</v>
      </c>
      <c r="O1166" s="17">
        <v>79307.370990502808</v>
      </c>
      <c r="P1166" s="17">
        <v>36676.275667761001</v>
      </c>
      <c r="Q1166" s="17">
        <v>811372.92334173631</v>
      </c>
      <c r="R1166" s="17">
        <v>471415.28</v>
      </c>
      <c r="S1166" s="17">
        <v>339957.64334173629</v>
      </c>
      <c r="T1166" s="17">
        <v>25387.8</v>
      </c>
    </row>
    <row r="1167" spans="1:20" x14ac:dyDescent="0.3">
      <c r="A1167" s="13">
        <v>45991</v>
      </c>
      <c r="B1167" s="7" t="s">
        <v>136</v>
      </c>
      <c r="C1167" s="7" t="s">
        <v>27</v>
      </c>
      <c r="D1167" s="7" t="s">
        <v>103</v>
      </c>
      <c r="E1167" s="7" t="s">
        <v>28</v>
      </c>
      <c r="F1167" s="14">
        <v>1685</v>
      </c>
      <c r="G1167" s="15">
        <v>249.87</v>
      </c>
      <c r="H1167" s="16">
        <v>0.13345583026415619</v>
      </c>
      <c r="I1167" s="16">
        <v>5.4074297217456477E-2</v>
      </c>
      <c r="J1167" s="15">
        <v>134.27000000000001</v>
      </c>
      <c r="K1167" s="14">
        <v>1283</v>
      </c>
      <c r="L1167" s="14">
        <v>396</v>
      </c>
      <c r="M1167" s="15">
        <v>22.61</v>
      </c>
      <c r="N1167" s="17">
        <v>421030.95</v>
      </c>
      <c r="O1167" s="17">
        <v>56189.034999156458</v>
      </c>
      <c r="P1167" s="17">
        <v>19728.570149141611</v>
      </c>
      <c r="Q1167" s="17">
        <v>345113.34485170199</v>
      </c>
      <c r="R1167" s="17">
        <v>226244.95</v>
      </c>
      <c r="S1167" s="17">
        <v>118868.394851702</v>
      </c>
      <c r="T1167" s="17">
        <v>8953.56</v>
      </c>
    </row>
    <row r="1168" spans="1:20" x14ac:dyDescent="0.3">
      <c r="A1168" s="13">
        <v>45991</v>
      </c>
      <c r="B1168" s="7" t="s">
        <v>136</v>
      </c>
      <c r="C1168" s="7" t="s">
        <v>27</v>
      </c>
      <c r="D1168" s="7" t="s">
        <v>103</v>
      </c>
      <c r="E1168" s="7" t="s">
        <v>30</v>
      </c>
      <c r="F1168" s="14">
        <v>1687</v>
      </c>
      <c r="G1168" s="15">
        <v>220.39</v>
      </c>
      <c r="H1168" s="16">
        <v>5.4241578839747173E-2</v>
      </c>
      <c r="I1168" s="16">
        <v>1.8384621286614881E-2</v>
      </c>
      <c r="J1168" s="15">
        <v>138.37</v>
      </c>
      <c r="K1168" s="14">
        <v>140</v>
      </c>
      <c r="L1168" s="14">
        <v>8</v>
      </c>
      <c r="M1168" s="15">
        <v>5.88</v>
      </c>
      <c r="N1168" s="17">
        <v>371797.93</v>
      </c>
      <c r="O1168" s="17">
        <v>20166.9067325498</v>
      </c>
      <c r="P1168" s="17">
        <v>6464.6031953969368</v>
      </c>
      <c r="Q1168" s="17">
        <v>345166.42007205333</v>
      </c>
      <c r="R1168" s="17">
        <v>233430.19</v>
      </c>
      <c r="S1168" s="17">
        <v>111736.23007205329</v>
      </c>
      <c r="T1168" s="17">
        <v>47.04</v>
      </c>
    </row>
    <row r="1169" spans="1:20" x14ac:dyDescent="0.3">
      <c r="A1169" s="13">
        <v>45991</v>
      </c>
      <c r="B1169" s="7" t="s">
        <v>136</v>
      </c>
      <c r="C1169" s="7" t="s">
        <v>27</v>
      </c>
      <c r="D1169" s="7" t="s">
        <v>104</v>
      </c>
      <c r="E1169" s="7" t="s">
        <v>25</v>
      </c>
      <c r="F1169" s="14">
        <v>3075</v>
      </c>
      <c r="G1169" s="15">
        <v>52.7</v>
      </c>
      <c r="H1169" s="16">
        <v>9.4469025188032379E-2</v>
      </c>
      <c r="I1169" s="16">
        <v>3.1906533152051199E-2</v>
      </c>
      <c r="J1169" s="15">
        <v>23.64</v>
      </c>
      <c r="K1169" s="14">
        <v>1993</v>
      </c>
      <c r="L1169" s="14">
        <v>755</v>
      </c>
      <c r="M1169" s="15">
        <v>20.11</v>
      </c>
      <c r="N1169" s="17">
        <v>162052.5</v>
      </c>
      <c r="O1169" s="17">
        <v>15308.941704283619</v>
      </c>
      <c r="P1169" s="17">
        <v>4682.0782076122323</v>
      </c>
      <c r="Q1169" s="17">
        <v>142061.48008810409</v>
      </c>
      <c r="R1169" s="17">
        <v>72693</v>
      </c>
      <c r="S1169" s="17">
        <v>69368.480088104145</v>
      </c>
      <c r="T1169" s="17">
        <v>15183.05</v>
      </c>
    </row>
    <row r="1170" spans="1:20" x14ac:dyDescent="0.3">
      <c r="A1170" s="13">
        <v>45991</v>
      </c>
      <c r="B1170" s="7" t="s">
        <v>136</v>
      </c>
      <c r="C1170" s="7" t="s">
        <v>27</v>
      </c>
      <c r="D1170" s="7" t="s">
        <v>104</v>
      </c>
      <c r="E1170" s="7" t="s">
        <v>28</v>
      </c>
      <c r="F1170" s="14">
        <v>1630</v>
      </c>
      <c r="G1170" s="15">
        <v>50.28</v>
      </c>
      <c r="H1170" s="16">
        <v>0.10078618920671099</v>
      </c>
      <c r="I1170" s="16">
        <v>4.1114026328277098E-2</v>
      </c>
      <c r="J1170" s="15">
        <v>23.66</v>
      </c>
      <c r="K1170" s="14">
        <v>1337</v>
      </c>
      <c r="L1170" s="14">
        <v>405</v>
      </c>
      <c r="M1170" s="15">
        <v>15.66</v>
      </c>
      <c r="N1170" s="17">
        <v>81956.400000000009</v>
      </c>
      <c r="O1170" s="17">
        <v>8260.0732371008908</v>
      </c>
      <c r="P1170" s="17">
        <v>3029.9527188271459</v>
      </c>
      <c r="Q1170" s="17">
        <v>70666.37404407197</v>
      </c>
      <c r="R1170" s="17">
        <v>38565.800000000003</v>
      </c>
      <c r="S1170" s="17">
        <v>32100.574044071971</v>
      </c>
      <c r="T1170" s="17">
        <v>6342.3</v>
      </c>
    </row>
    <row r="1171" spans="1:20" x14ac:dyDescent="0.3">
      <c r="A1171" s="13">
        <v>45991</v>
      </c>
      <c r="B1171" s="7" t="s">
        <v>136</v>
      </c>
      <c r="C1171" s="7" t="s">
        <v>27</v>
      </c>
      <c r="D1171" s="7" t="s">
        <v>104</v>
      </c>
      <c r="E1171" s="7" t="s">
        <v>30</v>
      </c>
      <c r="F1171" s="14">
        <v>1118</v>
      </c>
      <c r="G1171" s="15">
        <v>44.99</v>
      </c>
      <c r="H1171" s="16">
        <v>7.8487775271489951E-2</v>
      </c>
      <c r="I1171" s="16">
        <v>1.9401705487634251E-2</v>
      </c>
      <c r="J1171" s="15">
        <v>25.5</v>
      </c>
      <c r="K1171" s="14">
        <v>90</v>
      </c>
      <c r="L1171" s="14">
        <v>6</v>
      </c>
      <c r="M1171" s="15">
        <v>4.8</v>
      </c>
      <c r="N1171" s="17">
        <v>50298.82</v>
      </c>
      <c r="O1171" s="17">
        <v>3947.8424805811242</v>
      </c>
      <c r="P1171" s="17">
        <v>899.28801489572106</v>
      </c>
      <c r="Q1171" s="17">
        <v>45451.689504523158</v>
      </c>
      <c r="R1171" s="17">
        <v>28509</v>
      </c>
      <c r="S1171" s="17">
        <v>16942.689504523161</v>
      </c>
      <c r="T1171" s="17">
        <v>28.8</v>
      </c>
    </row>
    <row r="1172" spans="1:20" x14ac:dyDescent="0.3">
      <c r="A1172" s="13">
        <v>45991</v>
      </c>
      <c r="B1172" s="7" t="s">
        <v>136</v>
      </c>
      <c r="C1172" s="7" t="s">
        <v>29</v>
      </c>
      <c r="D1172" s="7" t="s">
        <v>102</v>
      </c>
      <c r="E1172" s="7" t="s">
        <v>25</v>
      </c>
      <c r="F1172" s="14">
        <v>6182</v>
      </c>
      <c r="G1172" s="15">
        <v>127.47</v>
      </c>
      <c r="H1172" s="16">
        <v>8.3585808740997844E-2</v>
      </c>
      <c r="I1172" s="16">
        <v>3.4670062805740462E-2</v>
      </c>
      <c r="J1172" s="15">
        <v>74.53</v>
      </c>
      <c r="K1172" s="14">
        <v>4292</v>
      </c>
      <c r="L1172" s="14">
        <v>1700</v>
      </c>
      <c r="M1172" s="15">
        <v>36.119999999999997</v>
      </c>
      <c r="N1172" s="17">
        <v>788019.54</v>
      </c>
      <c r="O1172" s="17">
        <v>65867.250554609098</v>
      </c>
      <c r="P1172" s="17">
        <v>25037.065230380969</v>
      </c>
      <c r="Q1172" s="17">
        <v>697115.22421500995</v>
      </c>
      <c r="R1172" s="17">
        <v>460744.46</v>
      </c>
      <c r="S1172" s="17">
        <v>236370.7642150099</v>
      </c>
      <c r="T1172" s="17">
        <v>61403.999999999993</v>
      </c>
    </row>
    <row r="1173" spans="1:20" x14ac:dyDescent="0.3">
      <c r="A1173" s="13">
        <v>45991</v>
      </c>
      <c r="B1173" s="7" t="s">
        <v>136</v>
      </c>
      <c r="C1173" s="7" t="s">
        <v>29</v>
      </c>
      <c r="D1173" s="7" t="s">
        <v>102</v>
      </c>
      <c r="E1173" s="7" t="s">
        <v>28</v>
      </c>
      <c r="F1173" s="14">
        <v>2633</v>
      </c>
      <c r="G1173" s="15">
        <v>119.78</v>
      </c>
      <c r="H1173" s="16">
        <v>0.15249750323555611</v>
      </c>
      <c r="I1173" s="16">
        <v>4.2030630564890072E-2</v>
      </c>
      <c r="J1173" s="15">
        <v>72.19</v>
      </c>
      <c r="K1173" s="14">
        <v>2055</v>
      </c>
      <c r="L1173" s="14">
        <v>609</v>
      </c>
      <c r="M1173" s="15">
        <v>16.739999999999998</v>
      </c>
      <c r="N1173" s="17">
        <v>315380.74</v>
      </c>
      <c r="O1173" s="17">
        <v>48094.77541858206</v>
      </c>
      <c r="P1173" s="17">
        <v>11234.19763250187</v>
      </c>
      <c r="Q1173" s="17">
        <v>256051.76694891599</v>
      </c>
      <c r="R1173" s="17">
        <v>190076.27</v>
      </c>
      <c r="S1173" s="17">
        <v>65975.496948916058</v>
      </c>
      <c r="T1173" s="17">
        <v>10194.66</v>
      </c>
    </row>
    <row r="1174" spans="1:20" x14ac:dyDescent="0.3">
      <c r="A1174" s="13">
        <v>45991</v>
      </c>
      <c r="B1174" s="7" t="s">
        <v>136</v>
      </c>
      <c r="C1174" s="7" t="s">
        <v>29</v>
      </c>
      <c r="D1174" s="7" t="s">
        <v>102</v>
      </c>
      <c r="E1174" s="7" t="s">
        <v>30</v>
      </c>
      <c r="F1174" s="14">
        <v>2885</v>
      </c>
      <c r="G1174" s="15">
        <v>104.32</v>
      </c>
      <c r="H1174" s="16">
        <v>6.575129553957007E-2</v>
      </c>
      <c r="I1174" s="16">
        <v>1.387806363321023E-2</v>
      </c>
      <c r="J1174" s="15">
        <v>71.17</v>
      </c>
      <c r="K1174" s="14">
        <v>240</v>
      </c>
      <c r="L1174" s="14">
        <v>14</v>
      </c>
      <c r="M1174" s="15">
        <v>6.56</v>
      </c>
      <c r="N1174" s="17">
        <v>300963.20000000001</v>
      </c>
      <c r="O1174" s="17">
        <v>19788.72030973473</v>
      </c>
      <c r="P1174" s="17">
        <v>3902.1573211762779</v>
      </c>
      <c r="Q1174" s="17">
        <v>277272.32236908888</v>
      </c>
      <c r="R1174" s="17">
        <v>205325.45</v>
      </c>
      <c r="S1174" s="17">
        <v>71946.872369088931</v>
      </c>
      <c r="T1174" s="17">
        <v>91.839999999999989</v>
      </c>
    </row>
    <row r="1175" spans="1:20" x14ac:dyDescent="0.3">
      <c r="A1175" s="13">
        <v>45991</v>
      </c>
      <c r="B1175" s="7" t="s">
        <v>136</v>
      </c>
      <c r="C1175" s="7" t="s">
        <v>29</v>
      </c>
      <c r="D1175" s="7" t="s">
        <v>103</v>
      </c>
      <c r="E1175" s="7" t="s">
        <v>25</v>
      </c>
      <c r="F1175" s="14">
        <v>3028</v>
      </c>
      <c r="G1175" s="15">
        <v>231.71</v>
      </c>
      <c r="H1175" s="16">
        <v>9.3783185271033673E-2</v>
      </c>
      <c r="I1175" s="16">
        <v>4.292168828207326E-2</v>
      </c>
      <c r="J1175" s="15">
        <v>125.8</v>
      </c>
      <c r="K1175" s="14">
        <v>2097</v>
      </c>
      <c r="L1175" s="14">
        <v>785</v>
      </c>
      <c r="M1175" s="15">
        <v>37</v>
      </c>
      <c r="N1175" s="17">
        <v>701617.88</v>
      </c>
      <c r="O1175" s="17">
        <v>65799.959629509875</v>
      </c>
      <c r="P1175" s="17">
        <v>27290.378582298261</v>
      </c>
      <c r="Q1175" s="17">
        <v>608527.54178819188</v>
      </c>
      <c r="R1175" s="17">
        <v>380922.4</v>
      </c>
      <c r="S1175" s="17">
        <v>227605.14178819189</v>
      </c>
      <c r="T1175" s="17">
        <v>29045</v>
      </c>
    </row>
    <row r="1176" spans="1:20" x14ac:dyDescent="0.3">
      <c r="A1176" s="13">
        <v>45991</v>
      </c>
      <c r="B1176" s="7" t="s">
        <v>136</v>
      </c>
      <c r="C1176" s="7" t="s">
        <v>29</v>
      </c>
      <c r="D1176" s="7" t="s">
        <v>103</v>
      </c>
      <c r="E1176" s="7" t="s">
        <v>28</v>
      </c>
      <c r="F1176" s="14">
        <v>1290</v>
      </c>
      <c r="G1176" s="15">
        <v>205.53</v>
      </c>
      <c r="H1176" s="16">
        <v>0.15648270808876311</v>
      </c>
      <c r="I1176" s="16">
        <v>7.2941318879290298E-2</v>
      </c>
      <c r="J1176" s="15">
        <v>122.24</v>
      </c>
      <c r="K1176" s="14">
        <v>1033</v>
      </c>
      <c r="L1176" s="14">
        <v>299</v>
      </c>
      <c r="M1176" s="15">
        <v>17.09</v>
      </c>
      <c r="N1176" s="17">
        <v>265133.7</v>
      </c>
      <c r="O1176" s="17">
        <v>41488.83938159368</v>
      </c>
      <c r="P1176" s="17">
        <v>16312.951094081611</v>
      </c>
      <c r="Q1176" s="17">
        <v>207331.9095243247</v>
      </c>
      <c r="R1176" s="17">
        <v>157689.60000000001</v>
      </c>
      <c r="S1176" s="17">
        <v>49642.309524324723</v>
      </c>
      <c r="T1176" s="17">
        <v>5109.91</v>
      </c>
    </row>
    <row r="1177" spans="1:20" x14ac:dyDescent="0.3">
      <c r="A1177" s="13">
        <v>45991</v>
      </c>
      <c r="B1177" s="7" t="s">
        <v>136</v>
      </c>
      <c r="C1177" s="7" t="s">
        <v>29</v>
      </c>
      <c r="D1177" s="7" t="s">
        <v>103</v>
      </c>
      <c r="E1177" s="7" t="s">
        <v>30</v>
      </c>
      <c r="F1177" s="14">
        <v>916</v>
      </c>
      <c r="G1177" s="15">
        <v>189.16</v>
      </c>
      <c r="H1177" s="16">
        <v>6.8860457653069099E-2</v>
      </c>
      <c r="I1177" s="16">
        <v>2.413419315354557E-2</v>
      </c>
      <c r="J1177" s="15">
        <v>124.97</v>
      </c>
      <c r="K1177" s="14">
        <v>81</v>
      </c>
      <c r="L1177" s="14">
        <v>4</v>
      </c>
      <c r="M1177" s="15">
        <v>3.42</v>
      </c>
      <c r="N1177" s="17">
        <v>173270.56</v>
      </c>
      <c r="O1177" s="17">
        <v>11931.49005940357</v>
      </c>
      <c r="P1177" s="17">
        <v>3893.7882771597529</v>
      </c>
      <c r="Q1177" s="17">
        <v>157445.2816634367</v>
      </c>
      <c r="R1177" s="17">
        <v>114472.52</v>
      </c>
      <c r="S1177" s="17">
        <v>42972.761663436671</v>
      </c>
      <c r="T1177" s="17">
        <v>13.68</v>
      </c>
    </row>
    <row r="1178" spans="1:20" x14ac:dyDescent="0.3">
      <c r="A1178" s="13">
        <v>45991</v>
      </c>
      <c r="B1178" s="7" t="s">
        <v>136</v>
      </c>
      <c r="C1178" s="7" t="s">
        <v>29</v>
      </c>
      <c r="D1178" s="7" t="s">
        <v>104</v>
      </c>
      <c r="E1178" s="7" t="s">
        <v>25</v>
      </c>
      <c r="F1178" s="14">
        <v>2161</v>
      </c>
      <c r="G1178" s="15">
        <v>48.74</v>
      </c>
      <c r="H1178" s="16">
        <v>6.6517759202864249E-2</v>
      </c>
      <c r="I1178" s="16">
        <v>3.1997772646000962E-2</v>
      </c>
      <c r="J1178" s="15">
        <v>22.6</v>
      </c>
      <c r="K1178" s="14">
        <v>1432</v>
      </c>
      <c r="L1178" s="14">
        <v>547</v>
      </c>
      <c r="M1178" s="15">
        <v>29.8</v>
      </c>
      <c r="N1178" s="17">
        <v>105327.14</v>
      </c>
      <c r="O1178" s="17">
        <v>7006.1253360463716</v>
      </c>
      <c r="P1178" s="17">
        <v>3146.0534735413148</v>
      </c>
      <c r="Q1178" s="17">
        <v>95174.961190412316</v>
      </c>
      <c r="R1178" s="17">
        <v>48838.600000000013</v>
      </c>
      <c r="S1178" s="17">
        <v>46336.36119041231</v>
      </c>
      <c r="T1178" s="17">
        <v>16300.6</v>
      </c>
    </row>
    <row r="1179" spans="1:20" x14ac:dyDescent="0.3">
      <c r="A1179" s="13">
        <v>45991</v>
      </c>
      <c r="B1179" s="7" t="s">
        <v>136</v>
      </c>
      <c r="C1179" s="7" t="s">
        <v>29</v>
      </c>
      <c r="D1179" s="7" t="s">
        <v>104</v>
      </c>
      <c r="E1179" s="7" t="s">
        <v>28</v>
      </c>
      <c r="F1179" s="14">
        <v>1174</v>
      </c>
      <c r="G1179" s="15">
        <v>43.54</v>
      </c>
      <c r="H1179" s="16">
        <v>0.1241386382175229</v>
      </c>
      <c r="I1179" s="16">
        <v>7.1666964463165728E-2</v>
      </c>
      <c r="J1179" s="15">
        <v>22.48</v>
      </c>
      <c r="K1179" s="14">
        <v>972</v>
      </c>
      <c r="L1179" s="14">
        <v>299</v>
      </c>
      <c r="M1179" s="15">
        <v>20.53</v>
      </c>
      <c r="N1179" s="17">
        <v>51115.96</v>
      </c>
      <c r="O1179" s="17">
        <v>6345.4656655813696</v>
      </c>
      <c r="P1179" s="17">
        <v>3208.565426463143</v>
      </c>
      <c r="Q1179" s="17">
        <v>41561.928907955487</v>
      </c>
      <c r="R1179" s="17">
        <v>26391.52</v>
      </c>
      <c r="S1179" s="17">
        <v>15170.408907955491</v>
      </c>
      <c r="T1179" s="17">
        <v>6138.47</v>
      </c>
    </row>
    <row r="1180" spans="1:20" x14ac:dyDescent="0.3">
      <c r="A1180" s="13">
        <v>45991</v>
      </c>
      <c r="B1180" s="7" t="s">
        <v>136</v>
      </c>
      <c r="C1180" s="7" t="s">
        <v>29</v>
      </c>
      <c r="D1180" s="7" t="s">
        <v>104</v>
      </c>
      <c r="E1180" s="7" t="s">
        <v>30</v>
      </c>
      <c r="F1180" s="14">
        <v>830</v>
      </c>
      <c r="G1180" s="15">
        <v>38.950000000000003</v>
      </c>
      <c r="H1180" s="16">
        <v>6.9573634567375447E-2</v>
      </c>
      <c r="I1180" s="16">
        <v>1.9518938689797101E-2</v>
      </c>
      <c r="J1180" s="15">
        <v>23.16</v>
      </c>
      <c r="K1180" s="14">
        <v>72</v>
      </c>
      <c r="L1180" s="14">
        <v>4</v>
      </c>
      <c r="M1180" s="15">
        <v>5.48</v>
      </c>
      <c r="N1180" s="17">
        <v>32328.5</v>
      </c>
      <c r="O1180" s="17">
        <v>2249.2112451113981</v>
      </c>
      <c r="P1180" s="17">
        <v>587.11579303937424</v>
      </c>
      <c r="Q1180" s="17">
        <v>29492.172961849232</v>
      </c>
      <c r="R1180" s="17">
        <v>19222.8</v>
      </c>
      <c r="S1180" s="17">
        <v>10269.372961849231</v>
      </c>
      <c r="T1180" s="17">
        <v>21.92</v>
      </c>
    </row>
    <row r="1181" spans="1:20" x14ac:dyDescent="0.3">
      <c r="A1181" s="13">
        <v>45991</v>
      </c>
      <c r="B1181" s="7" t="s">
        <v>136</v>
      </c>
      <c r="C1181" s="7" t="s">
        <v>31</v>
      </c>
      <c r="D1181" s="7" t="s">
        <v>102</v>
      </c>
      <c r="E1181" s="7" t="s">
        <v>25</v>
      </c>
      <c r="F1181" s="14">
        <v>2257</v>
      </c>
      <c r="G1181" s="15">
        <v>114.23</v>
      </c>
      <c r="H1181" s="16">
        <v>8.8727367544673835E-2</v>
      </c>
      <c r="I1181" s="16">
        <v>4.412355969085948E-2</v>
      </c>
      <c r="J1181" s="15">
        <v>74.239999999999995</v>
      </c>
      <c r="K1181" s="14">
        <v>1646</v>
      </c>
      <c r="L1181" s="14">
        <v>556</v>
      </c>
      <c r="M1181" s="15">
        <v>21.3</v>
      </c>
      <c r="N1181" s="17">
        <v>257817.11</v>
      </c>
      <c r="O1181" s="17">
        <v>22875.433478275609</v>
      </c>
      <c r="P1181" s="17">
        <v>10366.463087876909</v>
      </c>
      <c r="Q1181" s="17">
        <v>224575.2134338475</v>
      </c>
      <c r="R1181" s="17">
        <v>167559.67999999999</v>
      </c>
      <c r="S1181" s="17">
        <v>57015.533433847508</v>
      </c>
      <c r="T1181" s="17">
        <v>11842.8</v>
      </c>
    </row>
    <row r="1182" spans="1:20" x14ac:dyDescent="0.3">
      <c r="A1182" s="13">
        <v>45991</v>
      </c>
      <c r="B1182" s="7" t="s">
        <v>136</v>
      </c>
      <c r="C1182" s="7" t="s">
        <v>31</v>
      </c>
      <c r="D1182" s="7" t="s">
        <v>102</v>
      </c>
      <c r="E1182" s="7" t="s">
        <v>28</v>
      </c>
      <c r="F1182" s="14">
        <v>1172</v>
      </c>
      <c r="G1182" s="15">
        <v>109.99</v>
      </c>
      <c r="H1182" s="16">
        <v>0.14863432335908261</v>
      </c>
      <c r="I1182" s="16">
        <v>6.1809521413401812E-2</v>
      </c>
      <c r="J1182" s="15">
        <v>73.11</v>
      </c>
      <c r="K1182" s="14">
        <v>894</v>
      </c>
      <c r="L1182" s="14">
        <v>269</v>
      </c>
      <c r="M1182" s="15">
        <v>19.89</v>
      </c>
      <c r="N1182" s="17">
        <v>128908.28</v>
      </c>
      <c r="O1182" s="17">
        <v>19160.194973183159</v>
      </c>
      <c r="P1182" s="17">
        <v>6783.4766115448774</v>
      </c>
      <c r="Q1182" s="17">
        <v>102964.608415272</v>
      </c>
      <c r="R1182" s="17">
        <v>85684.92</v>
      </c>
      <c r="S1182" s="17">
        <v>17279.688415271969</v>
      </c>
      <c r="T1182" s="17">
        <v>5350.41</v>
      </c>
    </row>
    <row r="1183" spans="1:20" x14ac:dyDescent="0.3">
      <c r="A1183" s="13">
        <v>45991</v>
      </c>
      <c r="B1183" s="7" t="s">
        <v>136</v>
      </c>
      <c r="C1183" s="7" t="s">
        <v>31</v>
      </c>
      <c r="D1183" s="7" t="s">
        <v>102</v>
      </c>
      <c r="E1183" s="7" t="s">
        <v>30</v>
      </c>
      <c r="F1183" s="14">
        <v>950</v>
      </c>
      <c r="G1183" s="15">
        <v>91.75</v>
      </c>
      <c r="H1183" s="16">
        <v>8.3599674263031276E-2</v>
      </c>
      <c r="I1183" s="16">
        <v>1.9189689489815882E-2</v>
      </c>
      <c r="J1183" s="15">
        <v>73.430000000000007</v>
      </c>
      <c r="K1183" s="14">
        <v>75</v>
      </c>
      <c r="L1183" s="14">
        <v>5</v>
      </c>
      <c r="M1183" s="15">
        <v>4.57</v>
      </c>
      <c r="N1183" s="17">
        <v>87162.5</v>
      </c>
      <c r="O1183" s="17">
        <v>7286.7566079514636</v>
      </c>
      <c r="P1183" s="17">
        <v>1532.7907134616239</v>
      </c>
      <c r="Q1183" s="17">
        <v>78342.952678586909</v>
      </c>
      <c r="R1183" s="17">
        <v>69758.5</v>
      </c>
      <c r="S1183" s="17">
        <v>8584.4526785869093</v>
      </c>
      <c r="T1183" s="17">
        <v>22.85</v>
      </c>
    </row>
    <row r="1184" spans="1:20" x14ac:dyDescent="0.3">
      <c r="A1184" s="13">
        <v>45991</v>
      </c>
      <c r="B1184" s="7" t="s">
        <v>136</v>
      </c>
      <c r="C1184" s="7" t="s">
        <v>31</v>
      </c>
      <c r="D1184" s="7" t="s">
        <v>103</v>
      </c>
      <c r="E1184" s="7" t="s">
        <v>25</v>
      </c>
      <c r="F1184" s="14">
        <v>1348</v>
      </c>
      <c r="G1184" s="15">
        <v>210.77</v>
      </c>
      <c r="H1184" s="16">
        <v>9.5298156249352006E-2</v>
      </c>
      <c r="I1184" s="16">
        <v>3.0738367365167919E-2</v>
      </c>
      <c r="J1184" s="15">
        <v>117.12</v>
      </c>
      <c r="K1184" s="14">
        <v>937</v>
      </c>
      <c r="L1184" s="14">
        <v>355</v>
      </c>
      <c r="M1184" s="15">
        <v>39.159999999999997</v>
      </c>
      <c r="N1184" s="17">
        <v>284117.96000000002</v>
      </c>
      <c r="O1184" s="17">
        <v>27075.91774532714</v>
      </c>
      <c r="P1184" s="17">
        <v>7901.0527231171491</v>
      </c>
      <c r="Q1184" s="17">
        <v>249140.98953155571</v>
      </c>
      <c r="R1184" s="17">
        <v>157877.76000000001</v>
      </c>
      <c r="S1184" s="17">
        <v>91263.229531555728</v>
      </c>
      <c r="T1184" s="17">
        <v>13901.8</v>
      </c>
    </row>
    <row r="1185" spans="1:20" x14ac:dyDescent="0.3">
      <c r="A1185" s="13">
        <v>45991</v>
      </c>
      <c r="B1185" s="7" t="s">
        <v>136</v>
      </c>
      <c r="C1185" s="7" t="s">
        <v>31</v>
      </c>
      <c r="D1185" s="7" t="s">
        <v>103</v>
      </c>
      <c r="E1185" s="7" t="s">
        <v>28</v>
      </c>
      <c r="F1185" s="14">
        <v>665</v>
      </c>
      <c r="G1185" s="15">
        <v>198.95</v>
      </c>
      <c r="H1185" s="16">
        <v>0.14380865795980161</v>
      </c>
      <c r="I1185" s="16">
        <v>6.2633611273887335E-2</v>
      </c>
      <c r="J1185" s="15">
        <v>117.79</v>
      </c>
      <c r="K1185" s="14">
        <v>556</v>
      </c>
      <c r="L1185" s="14">
        <v>183</v>
      </c>
      <c r="M1185" s="15">
        <v>23.99</v>
      </c>
      <c r="N1185" s="17">
        <v>132301.75</v>
      </c>
      <c r="O1185" s="17">
        <v>19026.137113233181</v>
      </c>
      <c r="P1185" s="17">
        <v>7094.8607043610946</v>
      </c>
      <c r="Q1185" s="17">
        <v>106180.7521824057</v>
      </c>
      <c r="R1185" s="17">
        <v>78330.350000000006</v>
      </c>
      <c r="S1185" s="17">
        <v>27850.402182405709</v>
      </c>
      <c r="T1185" s="17">
        <v>4390.17</v>
      </c>
    </row>
    <row r="1186" spans="1:20" x14ac:dyDescent="0.3">
      <c r="A1186" s="13">
        <v>45991</v>
      </c>
      <c r="B1186" s="7" t="s">
        <v>136</v>
      </c>
      <c r="C1186" s="7" t="s">
        <v>31</v>
      </c>
      <c r="D1186" s="7" t="s">
        <v>103</v>
      </c>
      <c r="E1186" s="7" t="s">
        <v>30</v>
      </c>
      <c r="F1186" s="14">
        <v>558</v>
      </c>
      <c r="G1186" s="15">
        <v>172.96</v>
      </c>
      <c r="H1186" s="16">
        <v>7.8706064868125203E-2</v>
      </c>
      <c r="I1186" s="16">
        <v>8.0446071735802028E-3</v>
      </c>
      <c r="J1186" s="15">
        <v>117.81</v>
      </c>
      <c r="K1186" s="14">
        <v>46</v>
      </c>
      <c r="L1186" s="14">
        <v>3</v>
      </c>
      <c r="M1186" s="15">
        <v>5.88</v>
      </c>
      <c r="N1186" s="17">
        <v>96511.680000000008</v>
      </c>
      <c r="O1186" s="17">
        <v>7596.0545466117428</v>
      </c>
      <c r="P1186" s="17">
        <v>715.29127836569762</v>
      </c>
      <c r="Q1186" s="17">
        <v>88200.334175022566</v>
      </c>
      <c r="R1186" s="17">
        <v>65737.98</v>
      </c>
      <c r="S1186" s="17">
        <v>22462.35417502257</v>
      </c>
      <c r="T1186" s="17">
        <v>17.64</v>
      </c>
    </row>
    <row r="1187" spans="1:20" x14ac:dyDescent="0.3">
      <c r="A1187" s="13">
        <v>45991</v>
      </c>
      <c r="B1187" s="7" t="s">
        <v>136</v>
      </c>
      <c r="C1187" s="7" t="s">
        <v>31</v>
      </c>
      <c r="D1187" s="7" t="s">
        <v>104</v>
      </c>
      <c r="E1187" s="7" t="s">
        <v>25</v>
      </c>
      <c r="F1187" s="14">
        <v>982</v>
      </c>
      <c r="G1187" s="15">
        <v>45.6</v>
      </c>
      <c r="H1187" s="16">
        <v>0.1060721501901886</v>
      </c>
      <c r="I1187" s="16">
        <v>3.79931478162467E-2</v>
      </c>
      <c r="J1187" s="15">
        <v>22.01</v>
      </c>
      <c r="K1187" s="14">
        <v>683</v>
      </c>
      <c r="L1187" s="14">
        <v>239</v>
      </c>
      <c r="M1187" s="15">
        <v>37.93</v>
      </c>
      <c r="N1187" s="17">
        <v>44779.199999999997</v>
      </c>
      <c r="O1187" s="17">
        <v>4749.8260277964964</v>
      </c>
      <c r="P1187" s="17">
        <v>1520.8419223177459</v>
      </c>
      <c r="Q1187" s="17">
        <v>38508.532049885762</v>
      </c>
      <c r="R1187" s="17">
        <v>21613.82</v>
      </c>
      <c r="S1187" s="17">
        <v>16894.712049885758</v>
      </c>
      <c r="T1187" s="17">
        <v>9065.27</v>
      </c>
    </row>
    <row r="1188" spans="1:20" x14ac:dyDescent="0.3">
      <c r="A1188" s="13">
        <v>45991</v>
      </c>
      <c r="B1188" s="7" t="s">
        <v>136</v>
      </c>
      <c r="C1188" s="7" t="s">
        <v>31</v>
      </c>
      <c r="D1188" s="7" t="s">
        <v>104</v>
      </c>
      <c r="E1188" s="7" t="s">
        <v>28</v>
      </c>
      <c r="F1188" s="14">
        <v>667</v>
      </c>
      <c r="G1188" s="15">
        <v>40.020000000000003</v>
      </c>
      <c r="H1188" s="16">
        <v>0.1052510370510218</v>
      </c>
      <c r="I1188" s="16">
        <v>4.2165883229199771E-2</v>
      </c>
      <c r="J1188" s="15">
        <v>22.58</v>
      </c>
      <c r="K1188" s="14">
        <v>577</v>
      </c>
      <c r="L1188" s="14">
        <v>196</v>
      </c>
      <c r="M1188" s="15">
        <v>18.57</v>
      </c>
      <c r="N1188" s="17">
        <v>26693.34</v>
      </c>
      <c r="O1188" s="17">
        <v>2809.501717355522</v>
      </c>
      <c r="P1188" s="17">
        <v>1007.083136091078</v>
      </c>
      <c r="Q1188" s="17">
        <v>22876.755146553409</v>
      </c>
      <c r="R1188" s="17">
        <v>15060.86</v>
      </c>
      <c r="S1188" s="17">
        <v>7815.8951465534064</v>
      </c>
      <c r="T1188" s="17">
        <v>3639.72</v>
      </c>
    </row>
    <row r="1189" spans="1:20" x14ac:dyDescent="0.3">
      <c r="A1189" s="13">
        <v>45991</v>
      </c>
      <c r="B1189" s="7" t="s">
        <v>136</v>
      </c>
      <c r="C1189" s="7" t="s">
        <v>31</v>
      </c>
      <c r="D1189" s="7" t="s">
        <v>104</v>
      </c>
      <c r="E1189" s="7" t="s">
        <v>30</v>
      </c>
      <c r="F1189" s="14">
        <v>364</v>
      </c>
      <c r="G1189" s="15">
        <v>34.380000000000003</v>
      </c>
      <c r="H1189" s="16">
        <v>6.3731793707038298E-2</v>
      </c>
      <c r="I1189" s="16">
        <v>2.4100717970615301E-2</v>
      </c>
      <c r="J1189" s="15">
        <v>21.97</v>
      </c>
      <c r="K1189" s="14">
        <v>31</v>
      </c>
      <c r="L1189" s="14">
        <v>2</v>
      </c>
      <c r="M1189" s="15">
        <v>4.28</v>
      </c>
      <c r="N1189" s="17">
        <v>12514.32</v>
      </c>
      <c r="O1189" s="17">
        <v>797.56006062386359</v>
      </c>
      <c r="P1189" s="17">
        <v>282.3823268283079</v>
      </c>
      <c r="Q1189" s="17">
        <v>11434.377612547831</v>
      </c>
      <c r="R1189" s="17">
        <v>7997.08</v>
      </c>
      <c r="S1189" s="17">
        <v>3437.297612547829</v>
      </c>
      <c r="T1189" s="17">
        <v>8.56</v>
      </c>
    </row>
    <row r="1190" spans="1:20" x14ac:dyDescent="0.3">
      <c r="A1190" s="13">
        <v>46022</v>
      </c>
      <c r="B1190" s="7" t="s">
        <v>137</v>
      </c>
      <c r="C1190" s="7" t="s">
        <v>24</v>
      </c>
      <c r="D1190" s="7" t="s">
        <v>102</v>
      </c>
      <c r="E1190" s="7" t="s">
        <v>25</v>
      </c>
      <c r="F1190" s="14">
        <v>9404</v>
      </c>
      <c r="G1190" s="15">
        <v>130.57</v>
      </c>
      <c r="H1190" s="16">
        <v>0.1005726013561779</v>
      </c>
      <c r="I1190" s="16">
        <v>3.4311230248026313E-2</v>
      </c>
      <c r="J1190" s="15">
        <v>77.930000000000007</v>
      </c>
      <c r="K1190" s="14">
        <v>6407</v>
      </c>
      <c r="L1190" s="14">
        <v>2483</v>
      </c>
      <c r="M1190" s="15">
        <v>31.28</v>
      </c>
      <c r="N1190" s="17">
        <v>1227880.28</v>
      </c>
      <c r="O1190" s="17">
        <v>123491.11391355201</v>
      </c>
      <c r="P1190" s="17">
        <v>37892.950961017887</v>
      </c>
      <c r="Q1190" s="17">
        <v>1066496.2151254299</v>
      </c>
      <c r="R1190" s="17">
        <v>732853.72000000009</v>
      </c>
      <c r="S1190" s="17">
        <v>333642.49512542982</v>
      </c>
      <c r="T1190" s="17">
        <v>77668.240000000005</v>
      </c>
    </row>
    <row r="1191" spans="1:20" x14ac:dyDescent="0.3">
      <c r="A1191" s="13">
        <v>46022</v>
      </c>
      <c r="B1191" s="7" t="s">
        <v>137</v>
      </c>
      <c r="C1191" s="7" t="s">
        <v>24</v>
      </c>
      <c r="D1191" s="7" t="s">
        <v>102</v>
      </c>
      <c r="E1191" s="7" t="s">
        <v>28</v>
      </c>
      <c r="F1191" s="14">
        <v>6084</v>
      </c>
      <c r="G1191" s="15">
        <v>118.13</v>
      </c>
      <c r="H1191" s="16">
        <v>0.12649360358394901</v>
      </c>
      <c r="I1191" s="16">
        <v>6.1084325206873041E-2</v>
      </c>
      <c r="J1191" s="15">
        <v>76.02</v>
      </c>
      <c r="K1191" s="14">
        <v>5221</v>
      </c>
      <c r="L1191" s="14">
        <v>1507</v>
      </c>
      <c r="M1191" s="15">
        <v>17.27</v>
      </c>
      <c r="N1191" s="17">
        <v>718702.91999999993</v>
      </c>
      <c r="O1191" s="17">
        <v>90911.322257106614</v>
      </c>
      <c r="P1191" s="17">
        <v>38348.226118669307</v>
      </c>
      <c r="Q1191" s="17">
        <v>589443.371624224</v>
      </c>
      <c r="R1191" s="17">
        <v>462505.68</v>
      </c>
      <c r="S1191" s="17">
        <v>126937.691624224</v>
      </c>
      <c r="T1191" s="17">
        <v>26025.89</v>
      </c>
    </row>
    <row r="1192" spans="1:20" x14ac:dyDescent="0.3">
      <c r="A1192" s="13">
        <v>46022</v>
      </c>
      <c r="B1192" s="7" t="s">
        <v>137</v>
      </c>
      <c r="C1192" s="7" t="s">
        <v>24</v>
      </c>
      <c r="D1192" s="7" t="s">
        <v>102</v>
      </c>
      <c r="E1192" s="7" t="s">
        <v>30</v>
      </c>
      <c r="F1192" s="14">
        <v>3991</v>
      </c>
      <c r="G1192" s="15">
        <v>110.62</v>
      </c>
      <c r="H1192" s="16">
        <v>6.3966680489074404E-2</v>
      </c>
      <c r="I1192" s="16">
        <v>1.8321106911297892E-2</v>
      </c>
      <c r="J1192" s="15">
        <v>74.06</v>
      </c>
      <c r="K1192" s="14">
        <v>359</v>
      </c>
      <c r="L1192" s="14">
        <v>20</v>
      </c>
      <c r="M1192" s="15">
        <v>4.28</v>
      </c>
      <c r="N1192" s="17">
        <v>441484.42</v>
      </c>
      <c r="O1192" s="17">
        <v>28240.292835044329</v>
      </c>
      <c r="P1192" s="17">
        <v>7571.0898342551354</v>
      </c>
      <c r="Q1192" s="17">
        <v>405673.03733070061</v>
      </c>
      <c r="R1192" s="17">
        <v>295573.46000000002</v>
      </c>
      <c r="S1192" s="17">
        <v>110099.5773307006</v>
      </c>
      <c r="T1192" s="17">
        <v>85.600000000000009</v>
      </c>
    </row>
    <row r="1193" spans="1:20" x14ac:dyDescent="0.3">
      <c r="A1193" s="13">
        <v>46022</v>
      </c>
      <c r="B1193" s="7" t="s">
        <v>137</v>
      </c>
      <c r="C1193" s="7" t="s">
        <v>24</v>
      </c>
      <c r="D1193" s="7" t="s">
        <v>103</v>
      </c>
      <c r="E1193" s="7" t="s">
        <v>25</v>
      </c>
      <c r="F1193" s="14">
        <v>5975</v>
      </c>
      <c r="G1193" s="15">
        <v>243.49</v>
      </c>
      <c r="H1193" s="16">
        <v>7.668305326216017E-2</v>
      </c>
      <c r="I1193" s="16">
        <v>4.5168252658244513E-2</v>
      </c>
      <c r="J1193" s="15">
        <v>136.47</v>
      </c>
      <c r="K1193" s="14">
        <v>4350</v>
      </c>
      <c r="L1193" s="14">
        <v>1700</v>
      </c>
      <c r="M1193" s="15">
        <v>29.81</v>
      </c>
      <c r="N1193" s="17">
        <v>1454852.75</v>
      </c>
      <c r="O1193" s="17">
        <v>111562.5509168502</v>
      </c>
      <c r="P1193" s="17">
        <v>60674.071105531293</v>
      </c>
      <c r="Q1193" s="17">
        <v>1282616.1279776189</v>
      </c>
      <c r="R1193" s="17">
        <v>815408.25</v>
      </c>
      <c r="S1193" s="17">
        <v>467207.87797761871</v>
      </c>
      <c r="T1193" s="17">
        <v>50677</v>
      </c>
    </row>
    <row r="1194" spans="1:20" x14ac:dyDescent="0.3">
      <c r="A1194" s="13">
        <v>46022</v>
      </c>
      <c r="B1194" s="7" t="s">
        <v>137</v>
      </c>
      <c r="C1194" s="7" t="s">
        <v>24</v>
      </c>
      <c r="D1194" s="7" t="s">
        <v>103</v>
      </c>
      <c r="E1194" s="7" t="s">
        <v>28</v>
      </c>
      <c r="F1194" s="14">
        <v>2290</v>
      </c>
      <c r="G1194" s="15">
        <v>212.62</v>
      </c>
      <c r="H1194" s="16">
        <v>0.1272906369454028</v>
      </c>
      <c r="I1194" s="16">
        <v>4.7316717354680793E-2</v>
      </c>
      <c r="J1194" s="15">
        <v>121.99</v>
      </c>
      <c r="K1194" s="14">
        <v>1866</v>
      </c>
      <c r="L1194" s="14">
        <v>543</v>
      </c>
      <c r="M1194" s="15">
        <v>20.440000000000001</v>
      </c>
      <c r="N1194" s="17">
        <v>486899.8</v>
      </c>
      <c r="O1194" s="17">
        <v>61977.785670589241</v>
      </c>
      <c r="P1194" s="17">
        <v>20105.914849806351</v>
      </c>
      <c r="Q1194" s="17">
        <v>404816.0994796044</v>
      </c>
      <c r="R1194" s="17">
        <v>279357.09999999998</v>
      </c>
      <c r="S1194" s="17">
        <v>125458.9994796044</v>
      </c>
      <c r="T1194" s="17">
        <v>11098.92</v>
      </c>
    </row>
    <row r="1195" spans="1:20" x14ac:dyDescent="0.3">
      <c r="A1195" s="13">
        <v>46022</v>
      </c>
      <c r="B1195" s="7" t="s">
        <v>137</v>
      </c>
      <c r="C1195" s="7" t="s">
        <v>24</v>
      </c>
      <c r="D1195" s="7" t="s">
        <v>103</v>
      </c>
      <c r="E1195" s="7" t="s">
        <v>30</v>
      </c>
      <c r="F1195" s="14">
        <v>1613</v>
      </c>
      <c r="G1195" s="15">
        <v>192.13</v>
      </c>
      <c r="H1195" s="16">
        <v>5.3907718536723513E-2</v>
      </c>
      <c r="I1195" s="16">
        <v>2.1346530947811689E-2</v>
      </c>
      <c r="J1195" s="15">
        <v>132.6</v>
      </c>
      <c r="K1195" s="14">
        <v>133</v>
      </c>
      <c r="L1195" s="14">
        <v>9</v>
      </c>
      <c r="M1195" s="15">
        <v>3.58</v>
      </c>
      <c r="N1195" s="17">
        <v>309905.69</v>
      </c>
      <c r="O1195" s="17">
        <v>16706.308709449091</v>
      </c>
      <c r="P1195" s="17">
        <v>6258.7896665979861</v>
      </c>
      <c r="Q1195" s="17">
        <v>286940.59162395302</v>
      </c>
      <c r="R1195" s="17">
        <v>213883.8</v>
      </c>
      <c r="S1195" s="17">
        <v>73056.791623952973</v>
      </c>
      <c r="T1195" s="17">
        <v>32.22</v>
      </c>
    </row>
    <row r="1196" spans="1:20" x14ac:dyDescent="0.3">
      <c r="A1196" s="13">
        <v>46022</v>
      </c>
      <c r="B1196" s="7" t="s">
        <v>137</v>
      </c>
      <c r="C1196" s="7" t="s">
        <v>24</v>
      </c>
      <c r="D1196" s="7" t="s">
        <v>104</v>
      </c>
      <c r="E1196" s="7" t="s">
        <v>25</v>
      </c>
      <c r="F1196" s="14">
        <v>4641</v>
      </c>
      <c r="G1196" s="15">
        <v>50.67</v>
      </c>
      <c r="H1196" s="16">
        <v>0.1018341793778694</v>
      </c>
      <c r="I1196" s="16">
        <v>3.688214426743975E-2</v>
      </c>
      <c r="J1196" s="15">
        <v>24.38</v>
      </c>
      <c r="K1196" s="14">
        <v>3275</v>
      </c>
      <c r="L1196" s="14">
        <v>1091</v>
      </c>
      <c r="M1196" s="15">
        <v>38.549999999999997</v>
      </c>
      <c r="N1196" s="17">
        <v>235159.47</v>
      </c>
      <c r="O1196" s="17">
        <v>23947.2716503847</v>
      </c>
      <c r="P1196" s="17">
        <v>7789.9587705736112</v>
      </c>
      <c r="Q1196" s="17">
        <v>203422.23957904169</v>
      </c>
      <c r="R1196" s="17">
        <v>113147.58</v>
      </c>
      <c r="S1196" s="17">
        <v>90274.65957904169</v>
      </c>
      <c r="T1196" s="17">
        <v>42058.05</v>
      </c>
    </row>
    <row r="1197" spans="1:20" x14ac:dyDescent="0.3">
      <c r="A1197" s="13">
        <v>46022</v>
      </c>
      <c r="B1197" s="7" t="s">
        <v>137</v>
      </c>
      <c r="C1197" s="7" t="s">
        <v>24</v>
      </c>
      <c r="D1197" s="7" t="s">
        <v>104</v>
      </c>
      <c r="E1197" s="7" t="s">
        <v>28</v>
      </c>
      <c r="F1197" s="14">
        <v>1997</v>
      </c>
      <c r="G1197" s="15">
        <v>46.65</v>
      </c>
      <c r="H1197" s="16">
        <v>0.13025566055467519</v>
      </c>
      <c r="I1197" s="16">
        <v>5.513734708439038E-2</v>
      </c>
      <c r="J1197" s="15">
        <v>21.95</v>
      </c>
      <c r="K1197" s="14">
        <v>1634</v>
      </c>
      <c r="L1197" s="14">
        <v>462</v>
      </c>
      <c r="M1197" s="15">
        <v>22.11</v>
      </c>
      <c r="N1197" s="17">
        <v>93160.05</v>
      </c>
      <c r="O1197" s="17">
        <v>12134.623850056571</v>
      </c>
      <c r="P1197" s="17">
        <v>4467.5270442900719</v>
      </c>
      <c r="Q1197" s="17">
        <v>76557.89910565337</v>
      </c>
      <c r="R1197" s="17">
        <v>43834.15</v>
      </c>
      <c r="S1197" s="17">
        <v>32723.749105653369</v>
      </c>
      <c r="T1197" s="17">
        <v>10214.82</v>
      </c>
    </row>
    <row r="1198" spans="1:20" x14ac:dyDescent="0.3">
      <c r="A1198" s="13">
        <v>46022</v>
      </c>
      <c r="B1198" s="7" t="s">
        <v>137</v>
      </c>
      <c r="C1198" s="7" t="s">
        <v>24</v>
      </c>
      <c r="D1198" s="7" t="s">
        <v>104</v>
      </c>
      <c r="E1198" s="7" t="s">
        <v>30</v>
      </c>
      <c r="F1198" s="14">
        <v>1623</v>
      </c>
      <c r="G1198" s="15">
        <v>42.29</v>
      </c>
      <c r="H1198" s="16">
        <v>4.0579928520377152E-2</v>
      </c>
      <c r="I1198" s="16">
        <v>2.2171318249610359E-2</v>
      </c>
      <c r="J1198" s="15">
        <v>22.49</v>
      </c>
      <c r="K1198" s="14">
        <v>133</v>
      </c>
      <c r="L1198" s="14">
        <v>8</v>
      </c>
      <c r="M1198" s="15">
        <v>5.45</v>
      </c>
      <c r="N1198" s="17">
        <v>68636.67</v>
      </c>
      <c r="O1198" s="17">
        <v>2785.2711624767139</v>
      </c>
      <c r="P1198" s="17">
        <v>1460.01232080875</v>
      </c>
      <c r="Q1198" s="17">
        <v>64391.386516714527</v>
      </c>
      <c r="R1198" s="17">
        <v>36501.269999999997</v>
      </c>
      <c r="S1198" s="17">
        <v>27890.116516714541</v>
      </c>
      <c r="T1198" s="17">
        <v>43.6</v>
      </c>
    </row>
    <row r="1199" spans="1:20" x14ac:dyDescent="0.3">
      <c r="A1199" s="13">
        <v>46022</v>
      </c>
      <c r="B1199" s="7" t="s">
        <v>137</v>
      </c>
      <c r="C1199" s="7" t="s">
        <v>27</v>
      </c>
      <c r="D1199" s="7" t="s">
        <v>102</v>
      </c>
      <c r="E1199" s="7" t="s">
        <v>25</v>
      </c>
      <c r="F1199" s="14">
        <v>8496</v>
      </c>
      <c r="G1199" s="15">
        <v>136.37</v>
      </c>
      <c r="H1199" s="16">
        <v>8.3920029418034975E-2</v>
      </c>
      <c r="I1199" s="16">
        <v>4.4068476351397837E-2</v>
      </c>
      <c r="J1199" s="15">
        <v>80.13</v>
      </c>
      <c r="K1199" s="14">
        <v>6008</v>
      </c>
      <c r="L1199" s="14">
        <v>2215</v>
      </c>
      <c r="M1199" s="15">
        <v>25.25</v>
      </c>
      <c r="N1199" s="17">
        <v>1158599.52</v>
      </c>
      <c r="O1199" s="17">
        <v>97229.7058021212</v>
      </c>
      <c r="P1199" s="17">
        <v>46772.950557066739</v>
      </c>
      <c r="Q1199" s="17">
        <v>1014596.863640812</v>
      </c>
      <c r="R1199" s="17">
        <v>680784.48</v>
      </c>
      <c r="S1199" s="17">
        <v>333812.38364081213</v>
      </c>
      <c r="T1199" s="17">
        <v>55928.75</v>
      </c>
    </row>
    <row r="1200" spans="1:20" x14ac:dyDescent="0.3">
      <c r="A1200" s="13">
        <v>46022</v>
      </c>
      <c r="B1200" s="7" t="s">
        <v>137</v>
      </c>
      <c r="C1200" s="7" t="s">
        <v>27</v>
      </c>
      <c r="D1200" s="7" t="s">
        <v>102</v>
      </c>
      <c r="E1200" s="7" t="s">
        <v>28</v>
      </c>
      <c r="F1200" s="14">
        <v>4540</v>
      </c>
      <c r="G1200" s="15">
        <v>132.77000000000001</v>
      </c>
      <c r="H1200" s="16">
        <v>0.12327907129881779</v>
      </c>
      <c r="I1200" s="16">
        <v>7.3378164518554112E-2</v>
      </c>
      <c r="J1200" s="15">
        <v>74.900000000000006</v>
      </c>
      <c r="K1200" s="14">
        <v>3685</v>
      </c>
      <c r="L1200" s="14">
        <v>1130</v>
      </c>
      <c r="M1200" s="15">
        <v>15.8</v>
      </c>
      <c r="N1200" s="17">
        <v>602775.80000000005</v>
      </c>
      <c r="O1200" s="17">
        <v>74309.640825401963</v>
      </c>
      <c r="P1200" s="17">
        <v>38777.876770402057</v>
      </c>
      <c r="Q1200" s="17">
        <v>489688.28240419598</v>
      </c>
      <c r="R1200" s="17">
        <v>340046</v>
      </c>
      <c r="S1200" s="17">
        <v>149642.28240419601</v>
      </c>
      <c r="T1200" s="17">
        <v>17854</v>
      </c>
    </row>
    <row r="1201" spans="1:20" x14ac:dyDescent="0.3">
      <c r="A1201" s="13">
        <v>46022</v>
      </c>
      <c r="B1201" s="7" t="s">
        <v>137</v>
      </c>
      <c r="C1201" s="7" t="s">
        <v>27</v>
      </c>
      <c r="D1201" s="7" t="s">
        <v>102</v>
      </c>
      <c r="E1201" s="7" t="s">
        <v>30</v>
      </c>
      <c r="F1201" s="14">
        <v>3121</v>
      </c>
      <c r="G1201" s="15">
        <v>123.3</v>
      </c>
      <c r="H1201" s="16">
        <v>9.1046444688589301E-2</v>
      </c>
      <c r="I1201" s="16">
        <v>1.951344424649204E-2</v>
      </c>
      <c r="J1201" s="15">
        <v>77.069999999999993</v>
      </c>
      <c r="K1201" s="14">
        <v>285</v>
      </c>
      <c r="L1201" s="14">
        <v>16</v>
      </c>
      <c r="M1201" s="15">
        <v>4.38</v>
      </c>
      <c r="N1201" s="17">
        <v>384819.3</v>
      </c>
      <c r="O1201" s="17">
        <v>35036.429112551647</v>
      </c>
      <c r="P1201" s="17">
        <v>6825.4685494401474</v>
      </c>
      <c r="Q1201" s="17">
        <v>342957.40233800822</v>
      </c>
      <c r="R1201" s="17">
        <v>240535.47</v>
      </c>
      <c r="S1201" s="17">
        <v>102421.93233800821</v>
      </c>
      <c r="T1201" s="17">
        <v>70.08</v>
      </c>
    </row>
    <row r="1202" spans="1:20" x14ac:dyDescent="0.3">
      <c r="A1202" s="13">
        <v>46022</v>
      </c>
      <c r="B1202" s="7" t="s">
        <v>137</v>
      </c>
      <c r="C1202" s="7" t="s">
        <v>27</v>
      </c>
      <c r="D1202" s="7" t="s">
        <v>103</v>
      </c>
      <c r="E1202" s="7" t="s">
        <v>25</v>
      </c>
      <c r="F1202" s="14">
        <v>3728</v>
      </c>
      <c r="G1202" s="15">
        <v>272.10000000000002</v>
      </c>
      <c r="H1202" s="16">
        <v>8.1750351656564302E-2</v>
      </c>
      <c r="I1202" s="16">
        <v>3.759275696010949E-2</v>
      </c>
      <c r="J1202" s="15">
        <v>126.5</v>
      </c>
      <c r="K1202" s="14">
        <v>2426</v>
      </c>
      <c r="L1202" s="14">
        <v>918</v>
      </c>
      <c r="M1202" s="15">
        <v>34.15</v>
      </c>
      <c r="N1202" s="17">
        <v>1014388.8</v>
      </c>
      <c r="O1202" s="17">
        <v>82926.641116480285</v>
      </c>
      <c r="P1202" s="17">
        <v>35016.230556447037</v>
      </c>
      <c r="Q1202" s="17">
        <v>896445.92832707264</v>
      </c>
      <c r="R1202" s="17">
        <v>471592</v>
      </c>
      <c r="S1202" s="17">
        <v>424853.92832707259</v>
      </c>
      <c r="T1202" s="17">
        <v>31349.7</v>
      </c>
    </row>
    <row r="1203" spans="1:20" x14ac:dyDescent="0.3">
      <c r="A1203" s="13">
        <v>46022</v>
      </c>
      <c r="B1203" s="7" t="s">
        <v>137</v>
      </c>
      <c r="C1203" s="7" t="s">
        <v>27</v>
      </c>
      <c r="D1203" s="7" t="s">
        <v>103</v>
      </c>
      <c r="E1203" s="7" t="s">
        <v>28</v>
      </c>
      <c r="F1203" s="14">
        <v>1799</v>
      </c>
      <c r="G1203" s="15">
        <v>244.75</v>
      </c>
      <c r="H1203" s="16">
        <v>0.1290342042066121</v>
      </c>
      <c r="I1203" s="16">
        <v>5.9567750976170647E-2</v>
      </c>
      <c r="J1203" s="15">
        <v>134.57</v>
      </c>
      <c r="K1203" s="14">
        <v>1503</v>
      </c>
      <c r="L1203" s="14">
        <v>445</v>
      </c>
      <c r="M1203" s="15">
        <v>18.7</v>
      </c>
      <c r="N1203" s="17">
        <v>440305.25</v>
      </c>
      <c r="O1203" s="17">
        <v>56814.437541743391</v>
      </c>
      <c r="P1203" s="17">
        <v>22843.685218162791</v>
      </c>
      <c r="Q1203" s="17">
        <v>360647.12724009377</v>
      </c>
      <c r="R1203" s="17">
        <v>242091.43</v>
      </c>
      <c r="S1203" s="17">
        <v>118555.6972400938</v>
      </c>
      <c r="T1203" s="17">
        <v>8321.5</v>
      </c>
    </row>
    <row r="1204" spans="1:20" x14ac:dyDescent="0.3">
      <c r="A1204" s="13">
        <v>46022</v>
      </c>
      <c r="B1204" s="7" t="s">
        <v>137</v>
      </c>
      <c r="C1204" s="7" t="s">
        <v>27</v>
      </c>
      <c r="D1204" s="7" t="s">
        <v>103</v>
      </c>
      <c r="E1204" s="7" t="s">
        <v>30</v>
      </c>
      <c r="F1204" s="14">
        <v>1680</v>
      </c>
      <c r="G1204" s="15">
        <v>223.24</v>
      </c>
      <c r="H1204" s="16">
        <v>7.4412819555093906E-2</v>
      </c>
      <c r="I1204" s="16">
        <v>2.6524813443952099E-2</v>
      </c>
      <c r="J1204" s="15">
        <v>135.72999999999999</v>
      </c>
      <c r="K1204" s="14">
        <v>144</v>
      </c>
      <c r="L1204" s="14">
        <v>9</v>
      </c>
      <c r="M1204" s="15">
        <v>3.34</v>
      </c>
      <c r="N1204" s="17">
        <v>375043.2</v>
      </c>
      <c r="O1204" s="17">
        <v>27908.021966965</v>
      </c>
      <c r="P1204" s="17">
        <v>9207.6958371593519</v>
      </c>
      <c r="Q1204" s="17">
        <v>337927.48219587572</v>
      </c>
      <c r="R1204" s="17">
        <v>228026.4</v>
      </c>
      <c r="S1204" s="17">
        <v>109901.0821958757</v>
      </c>
      <c r="T1204" s="17">
        <v>30.06</v>
      </c>
    </row>
    <row r="1205" spans="1:20" x14ac:dyDescent="0.3">
      <c r="A1205" s="13">
        <v>46022</v>
      </c>
      <c r="B1205" s="7" t="s">
        <v>137</v>
      </c>
      <c r="C1205" s="7" t="s">
        <v>27</v>
      </c>
      <c r="D1205" s="7" t="s">
        <v>104</v>
      </c>
      <c r="E1205" s="7" t="s">
        <v>25</v>
      </c>
      <c r="F1205" s="14">
        <v>3818</v>
      </c>
      <c r="G1205" s="15">
        <v>54.03</v>
      </c>
      <c r="H1205" s="16">
        <v>8.5342727313579586E-2</v>
      </c>
      <c r="I1205" s="16">
        <v>4.2270288603889462E-2</v>
      </c>
      <c r="J1205" s="15">
        <v>24.01</v>
      </c>
      <c r="K1205" s="14">
        <v>2647</v>
      </c>
      <c r="L1205" s="14">
        <v>1003</v>
      </c>
      <c r="M1205" s="15">
        <v>39.340000000000003</v>
      </c>
      <c r="N1205" s="17">
        <v>206286.54</v>
      </c>
      <c r="O1205" s="17">
        <v>17605.055931681829</v>
      </c>
      <c r="P1205" s="17">
        <v>7975.62078577798</v>
      </c>
      <c r="Q1205" s="17">
        <v>180705.8632825402</v>
      </c>
      <c r="R1205" s="17">
        <v>91670.180000000008</v>
      </c>
      <c r="S1205" s="17">
        <v>89035.683282540194</v>
      </c>
      <c r="T1205" s="17">
        <v>39458.019999999997</v>
      </c>
    </row>
    <row r="1206" spans="1:20" x14ac:dyDescent="0.3">
      <c r="A1206" s="13">
        <v>46022</v>
      </c>
      <c r="B1206" s="7" t="s">
        <v>137</v>
      </c>
      <c r="C1206" s="7" t="s">
        <v>27</v>
      </c>
      <c r="D1206" s="7" t="s">
        <v>104</v>
      </c>
      <c r="E1206" s="7" t="s">
        <v>28</v>
      </c>
      <c r="F1206" s="14">
        <v>1345</v>
      </c>
      <c r="G1206" s="15">
        <v>50.77</v>
      </c>
      <c r="H1206" s="16">
        <v>0.1233679278022517</v>
      </c>
      <c r="I1206" s="16">
        <v>6.5826369205162605E-2</v>
      </c>
      <c r="J1206" s="15">
        <v>23.69</v>
      </c>
      <c r="K1206" s="14">
        <v>1104</v>
      </c>
      <c r="L1206" s="14">
        <v>313</v>
      </c>
      <c r="M1206" s="15">
        <v>12.81</v>
      </c>
      <c r="N1206" s="17">
        <v>68285.650000000009</v>
      </c>
      <c r="O1206" s="17">
        <v>8424.2591391298265</v>
      </c>
      <c r="P1206" s="17">
        <v>3940.4580159421871</v>
      </c>
      <c r="Q1206" s="17">
        <v>55920.932844927993</v>
      </c>
      <c r="R1206" s="17">
        <v>31863.05</v>
      </c>
      <c r="S1206" s="17">
        <v>24057.88284492799</v>
      </c>
      <c r="T1206" s="17">
        <v>4009.53</v>
      </c>
    </row>
    <row r="1207" spans="1:20" x14ac:dyDescent="0.3">
      <c r="A1207" s="13">
        <v>46022</v>
      </c>
      <c r="B1207" s="7" t="s">
        <v>137</v>
      </c>
      <c r="C1207" s="7" t="s">
        <v>27</v>
      </c>
      <c r="D1207" s="7" t="s">
        <v>104</v>
      </c>
      <c r="E1207" s="7" t="s">
        <v>30</v>
      </c>
      <c r="F1207" s="14">
        <v>1229</v>
      </c>
      <c r="G1207" s="15">
        <v>45.74</v>
      </c>
      <c r="H1207" s="16">
        <v>7.298106611673201E-2</v>
      </c>
      <c r="I1207" s="16">
        <v>1.996468547724585E-2</v>
      </c>
      <c r="J1207" s="15">
        <v>24.15</v>
      </c>
      <c r="K1207" s="14">
        <v>108</v>
      </c>
      <c r="L1207" s="14">
        <v>6</v>
      </c>
      <c r="M1207" s="15">
        <v>3.75</v>
      </c>
      <c r="N1207" s="17">
        <v>56214.46</v>
      </c>
      <c r="O1207" s="17">
        <v>4102.5912219763868</v>
      </c>
      <c r="P1207" s="17">
        <v>1040.3970697847501</v>
      </c>
      <c r="Q1207" s="17">
        <v>51071.471708238867</v>
      </c>
      <c r="R1207" s="17">
        <v>29680.35</v>
      </c>
      <c r="S1207" s="17">
        <v>21391.121708238868</v>
      </c>
      <c r="T1207" s="17">
        <v>22.5</v>
      </c>
    </row>
    <row r="1208" spans="1:20" x14ac:dyDescent="0.3">
      <c r="A1208" s="13">
        <v>46022</v>
      </c>
      <c r="B1208" s="7" t="s">
        <v>137</v>
      </c>
      <c r="C1208" s="7" t="s">
        <v>29</v>
      </c>
      <c r="D1208" s="7" t="s">
        <v>102</v>
      </c>
      <c r="E1208" s="7" t="s">
        <v>25</v>
      </c>
      <c r="F1208" s="14">
        <v>7793</v>
      </c>
      <c r="G1208" s="15">
        <v>128.97</v>
      </c>
      <c r="H1208" s="16">
        <v>6.4579723469931682E-2</v>
      </c>
      <c r="I1208" s="16">
        <v>2.476402189331833E-2</v>
      </c>
      <c r="J1208" s="15">
        <v>73.239999999999995</v>
      </c>
      <c r="K1208" s="14">
        <v>5208</v>
      </c>
      <c r="L1208" s="14">
        <v>1886</v>
      </c>
      <c r="M1208" s="15">
        <v>33.69</v>
      </c>
      <c r="N1208" s="17">
        <v>1005063.21</v>
      </c>
      <c r="O1208" s="17">
        <v>64906.704171601872</v>
      </c>
      <c r="P1208" s="17">
        <v>23282.056293480109</v>
      </c>
      <c r="Q1208" s="17">
        <v>916874.44953491795</v>
      </c>
      <c r="R1208" s="17">
        <v>570759.31999999995</v>
      </c>
      <c r="S1208" s="17">
        <v>346115.129534918</v>
      </c>
      <c r="T1208" s="17">
        <v>63539.34</v>
      </c>
    </row>
    <row r="1209" spans="1:20" x14ac:dyDescent="0.3">
      <c r="A1209" s="13">
        <v>46022</v>
      </c>
      <c r="B1209" s="7" t="s">
        <v>137</v>
      </c>
      <c r="C1209" s="7" t="s">
        <v>29</v>
      </c>
      <c r="D1209" s="7" t="s">
        <v>102</v>
      </c>
      <c r="E1209" s="7" t="s">
        <v>28</v>
      </c>
      <c r="F1209" s="14">
        <v>3235</v>
      </c>
      <c r="G1209" s="15">
        <v>117.62</v>
      </c>
      <c r="H1209" s="16">
        <v>0.115845849262151</v>
      </c>
      <c r="I1209" s="16">
        <v>4.8045199967791843E-2</v>
      </c>
      <c r="J1209" s="15">
        <v>73.55</v>
      </c>
      <c r="K1209" s="14">
        <v>2663</v>
      </c>
      <c r="L1209" s="14">
        <v>920</v>
      </c>
      <c r="M1209" s="15">
        <v>19.989999999999998</v>
      </c>
      <c r="N1209" s="17">
        <v>380500.7</v>
      </c>
      <c r="O1209" s="17">
        <v>44079.426736342939</v>
      </c>
      <c r="P1209" s="17">
        <v>16163.42734737154</v>
      </c>
      <c r="Q1209" s="17">
        <v>320257.84591628553</v>
      </c>
      <c r="R1209" s="17">
        <v>237934.25</v>
      </c>
      <c r="S1209" s="17">
        <v>82323.595916285529</v>
      </c>
      <c r="T1209" s="17">
        <v>18390.8</v>
      </c>
    </row>
    <row r="1210" spans="1:20" x14ac:dyDescent="0.3">
      <c r="A1210" s="13">
        <v>46022</v>
      </c>
      <c r="B1210" s="7" t="s">
        <v>137</v>
      </c>
      <c r="C1210" s="7" t="s">
        <v>29</v>
      </c>
      <c r="D1210" s="7" t="s">
        <v>102</v>
      </c>
      <c r="E1210" s="7" t="s">
        <v>30</v>
      </c>
      <c r="F1210" s="14">
        <v>2946</v>
      </c>
      <c r="G1210" s="15">
        <v>104.35</v>
      </c>
      <c r="H1210" s="16">
        <v>7.6164104113242634E-2</v>
      </c>
      <c r="I1210" s="16">
        <v>2.00327432890227E-2</v>
      </c>
      <c r="J1210" s="15">
        <v>74.47</v>
      </c>
      <c r="K1210" s="14">
        <v>231</v>
      </c>
      <c r="L1210" s="14">
        <v>14</v>
      </c>
      <c r="M1210" s="15">
        <v>4.2699999999999996</v>
      </c>
      <c r="N1210" s="17">
        <v>307415.09999999998</v>
      </c>
      <c r="O1210" s="17">
        <v>23413.995682382891</v>
      </c>
      <c r="P1210" s="17">
        <v>5689.3212165937784</v>
      </c>
      <c r="Q1210" s="17">
        <v>278311.78310102329</v>
      </c>
      <c r="R1210" s="17">
        <v>219388.62</v>
      </c>
      <c r="S1210" s="17">
        <v>58923.163101023303</v>
      </c>
      <c r="T1210" s="17">
        <v>59.779999999999987</v>
      </c>
    </row>
    <row r="1211" spans="1:20" x14ac:dyDescent="0.3">
      <c r="A1211" s="13">
        <v>46022</v>
      </c>
      <c r="B1211" s="7" t="s">
        <v>137</v>
      </c>
      <c r="C1211" s="7" t="s">
        <v>29</v>
      </c>
      <c r="D1211" s="7" t="s">
        <v>103</v>
      </c>
      <c r="E1211" s="7" t="s">
        <v>25</v>
      </c>
      <c r="F1211" s="14">
        <v>3925</v>
      </c>
      <c r="G1211" s="15">
        <v>224.51</v>
      </c>
      <c r="H1211" s="16">
        <v>7.5866556373556771E-2</v>
      </c>
      <c r="I1211" s="16">
        <v>4.6779699708965283E-2</v>
      </c>
      <c r="J1211" s="15">
        <v>120.77</v>
      </c>
      <c r="K1211" s="14">
        <v>2814</v>
      </c>
      <c r="L1211" s="14">
        <v>983</v>
      </c>
      <c r="M1211" s="15">
        <v>30.09</v>
      </c>
      <c r="N1211" s="17">
        <v>881201.75</v>
      </c>
      <c r="O1211" s="17">
        <v>66853.742242851877</v>
      </c>
      <c r="P1211" s="17">
        <v>38094.955261473522</v>
      </c>
      <c r="Q1211" s="17">
        <v>776253.05249567458</v>
      </c>
      <c r="R1211" s="17">
        <v>474022.25</v>
      </c>
      <c r="S1211" s="17">
        <v>302230.80249567458</v>
      </c>
      <c r="T1211" s="17">
        <v>29578.47</v>
      </c>
    </row>
    <row r="1212" spans="1:20" x14ac:dyDescent="0.3">
      <c r="A1212" s="13">
        <v>46022</v>
      </c>
      <c r="B1212" s="7" t="s">
        <v>137</v>
      </c>
      <c r="C1212" s="7" t="s">
        <v>29</v>
      </c>
      <c r="D1212" s="7" t="s">
        <v>103</v>
      </c>
      <c r="E1212" s="7" t="s">
        <v>28</v>
      </c>
      <c r="F1212" s="14">
        <v>1463</v>
      </c>
      <c r="G1212" s="15">
        <v>211.09</v>
      </c>
      <c r="H1212" s="16">
        <v>0.1307073787211504</v>
      </c>
      <c r="I1212" s="16">
        <v>5.0801821612860051E-2</v>
      </c>
      <c r="J1212" s="15">
        <v>124.39</v>
      </c>
      <c r="K1212" s="14">
        <v>1216</v>
      </c>
      <c r="L1212" s="14">
        <v>370</v>
      </c>
      <c r="M1212" s="15">
        <v>18.77</v>
      </c>
      <c r="N1212" s="17">
        <v>308824.67</v>
      </c>
      <c r="O1212" s="17">
        <v>40365.663100124293</v>
      </c>
      <c r="P1212" s="17">
        <v>13638.20657889305</v>
      </c>
      <c r="Q1212" s="17">
        <v>254820.80032098261</v>
      </c>
      <c r="R1212" s="17">
        <v>181982.57</v>
      </c>
      <c r="S1212" s="17">
        <v>72838.230320982635</v>
      </c>
      <c r="T1212" s="17">
        <v>6944.9</v>
      </c>
    </row>
    <row r="1213" spans="1:20" x14ac:dyDescent="0.3">
      <c r="A1213" s="13">
        <v>46022</v>
      </c>
      <c r="B1213" s="7" t="s">
        <v>137</v>
      </c>
      <c r="C1213" s="7" t="s">
        <v>29</v>
      </c>
      <c r="D1213" s="7" t="s">
        <v>103</v>
      </c>
      <c r="E1213" s="7" t="s">
        <v>30</v>
      </c>
      <c r="F1213" s="14">
        <v>1098</v>
      </c>
      <c r="G1213" s="15">
        <v>187.77</v>
      </c>
      <c r="H1213" s="16">
        <v>7.0022927703788887E-2</v>
      </c>
      <c r="I1213" s="16">
        <v>1.312457383416457E-2</v>
      </c>
      <c r="J1213" s="15">
        <v>123.87</v>
      </c>
      <c r="K1213" s="14">
        <v>92</v>
      </c>
      <c r="L1213" s="14">
        <v>5</v>
      </c>
      <c r="M1213" s="15">
        <v>5.35</v>
      </c>
      <c r="N1213" s="17">
        <v>206171.46</v>
      </c>
      <c r="O1213" s="17">
        <v>14436.7292381646</v>
      </c>
      <c r="P1213" s="17">
        <v>2516.436630457375</v>
      </c>
      <c r="Q1213" s="17">
        <v>189218.294131378</v>
      </c>
      <c r="R1213" s="17">
        <v>136009.26</v>
      </c>
      <c r="S1213" s="17">
        <v>53209.034131378023</v>
      </c>
      <c r="T1213" s="17">
        <v>26.75</v>
      </c>
    </row>
    <row r="1214" spans="1:20" x14ac:dyDescent="0.3">
      <c r="A1214" s="13">
        <v>46022</v>
      </c>
      <c r="B1214" s="7" t="s">
        <v>137</v>
      </c>
      <c r="C1214" s="7" t="s">
        <v>29</v>
      </c>
      <c r="D1214" s="7" t="s">
        <v>104</v>
      </c>
      <c r="E1214" s="7" t="s">
        <v>25</v>
      </c>
      <c r="F1214" s="14">
        <v>1885</v>
      </c>
      <c r="G1214" s="15">
        <v>45.72</v>
      </c>
      <c r="H1214" s="16">
        <v>0.1083278650461769</v>
      </c>
      <c r="I1214" s="16">
        <v>3.8564184112878659E-2</v>
      </c>
      <c r="J1214" s="15">
        <v>23.32</v>
      </c>
      <c r="K1214" s="14">
        <v>1360</v>
      </c>
      <c r="L1214" s="14">
        <v>556</v>
      </c>
      <c r="M1214" s="15">
        <v>29.14</v>
      </c>
      <c r="N1214" s="17">
        <v>86182.2</v>
      </c>
      <c r="O1214" s="17">
        <v>9335.933730982626</v>
      </c>
      <c r="P1214" s="17">
        <v>2963.5135607856828</v>
      </c>
      <c r="Q1214" s="17">
        <v>73882.752708231696</v>
      </c>
      <c r="R1214" s="17">
        <v>43958.2</v>
      </c>
      <c r="S1214" s="17">
        <v>29924.552708231698</v>
      </c>
      <c r="T1214" s="17">
        <v>16201.84</v>
      </c>
    </row>
    <row r="1215" spans="1:20" x14ac:dyDescent="0.3">
      <c r="A1215" s="13">
        <v>46022</v>
      </c>
      <c r="B1215" s="7" t="s">
        <v>137</v>
      </c>
      <c r="C1215" s="7" t="s">
        <v>29</v>
      </c>
      <c r="D1215" s="7" t="s">
        <v>104</v>
      </c>
      <c r="E1215" s="7" t="s">
        <v>28</v>
      </c>
      <c r="F1215" s="14">
        <v>1273</v>
      </c>
      <c r="G1215" s="15">
        <v>43.07</v>
      </c>
      <c r="H1215" s="16">
        <v>9.3714556166233989E-2</v>
      </c>
      <c r="I1215" s="16">
        <v>6.2819126646491349E-2</v>
      </c>
      <c r="J1215" s="15">
        <v>23.42</v>
      </c>
      <c r="K1215" s="14">
        <v>1078</v>
      </c>
      <c r="L1215" s="14">
        <v>308</v>
      </c>
      <c r="M1215" s="15">
        <v>20.11</v>
      </c>
      <c r="N1215" s="17">
        <v>54828.11</v>
      </c>
      <c r="O1215" s="17">
        <v>5138.1919940834559</v>
      </c>
      <c r="P1215" s="17">
        <v>3121.477252267443</v>
      </c>
      <c r="Q1215" s="17">
        <v>46568.440753649113</v>
      </c>
      <c r="R1215" s="17">
        <v>29813.66</v>
      </c>
      <c r="S1215" s="17">
        <v>16754.780753649098</v>
      </c>
      <c r="T1215" s="17">
        <v>6193.88</v>
      </c>
    </row>
    <row r="1216" spans="1:20" x14ac:dyDescent="0.3">
      <c r="A1216" s="13">
        <v>46022</v>
      </c>
      <c r="B1216" s="7" t="s">
        <v>137</v>
      </c>
      <c r="C1216" s="7" t="s">
        <v>29</v>
      </c>
      <c r="D1216" s="7" t="s">
        <v>104</v>
      </c>
      <c r="E1216" s="7" t="s">
        <v>30</v>
      </c>
      <c r="F1216" s="14">
        <v>844</v>
      </c>
      <c r="G1216" s="15">
        <v>39.81</v>
      </c>
      <c r="H1216" s="16">
        <v>6.4911400071699155E-2</v>
      </c>
      <c r="I1216" s="16">
        <v>2.0717088153407379E-2</v>
      </c>
      <c r="J1216" s="15">
        <v>22.29</v>
      </c>
      <c r="K1216" s="14">
        <v>67</v>
      </c>
      <c r="L1216" s="14">
        <v>4</v>
      </c>
      <c r="M1216" s="15">
        <v>5.3</v>
      </c>
      <c r="N1216" s="17">
        <v>33599.64</v>
      </c>
      <c r="O1216" s="17">
        <v>2180.999674305066</v>
      </c>
      <c r="P1216" s="17">
        <v>650.90274128762201</v>
      </c>
      <c r="Q1216" s="17">
        <v>30767.73758440731</v>
      </c>
      <c r="R1216" s="17">
        <v>18812.759999999998</v>
      </c>
      <c r="S1216" s="17">
        <v>11954.977584407319</v>
      </c>
      <c r="T1216" s="17">
        <v>21.2</v>
      </c>
    </row>
    <row r="1217" spans="1:20" x14ac:dyDescent="0.3">
      <c r="A1217" s="13">
        <v>46022</v>
      </c>
      <c r="B1217" s="7" t="s">
        <v>137</v>
      </c>
      <c r="C1217" s="7" t="s">
        <v>31</v>
      </c>
      <c r="D1217" s="7" t="s">
        <v>102</v>
      </c>
      <c r="E1217" s="7" t="s">
        <v>25</v>
      </c>
      <c r="F1217" s="14">
        <v>2731</v>
      </c>
      <c r="G1217" s="15">
        <v>115.13</v>
      </c>
      <c r="H1217" s="16">
        <v>8.8290035630806535E-2</v>
      </c>
      <c r="I1217" s="16">
        <v>3.4488837599593723E-2</v>
      </c>
      <c r="J1217" s="15">
        <v>68.010000000000005</v>
      </c>
      <c r="K1217" s="14">
        <v>1962</v>
      </c>
      <c r="L1217" s="14">
        <v>780</v>
      </c>
      <c r="M1217" s="15">
        <v>27.06</v>
      </c>
      <c r="N1217" s="17">
        <v>314420.03000000003</v>
      </c>
      <c r="O1217" s="17">
        <v>27760.15565173926</v>
      </c>
      <c r="P1217" s="17">
        <v>9886.5658527171036</v>
      </c>
      <c r="Q1217" s="17">
        <v>276773.30849554361</v>
      </c>
      <c r="R1217" s="17">
        <v>185735.31</v>
      </c>
      <c r="S1217" s="17">
        <v>91037.998495543579</v>
      </c>
      <c r="T1217" s="17">
        <v>21106.799999999999</v>
      </c>
    </row>
    <row r="1218" spans="1:20" x14ac:dyDescent="0.3">
      <c r="A1218" s="13">
        <v>46022</v>
      </c>
      <c r="B1218" s="7" t="s">
        <v>137</v>
      </c>
      <c r="C1218" s="7" t="s">
        <v>31</v>
      </c>
      <c r="D1218" s="7" t="s">
        <v>102</v>
      </c>
      <c r="E1218" s="7" t="s">
        <v>28</v>
      </c>
      <c r="F1218" s="14">
        <v>1397</v>
      </c>
      <c r="G1218" s="15">
        <v>108.75</v>
      </c>
      <c r="H1218" s="16">
        <v>0.1367951989029777</v>
      </c>
      <c r="I1218" s="16">
        <v>6.0953128568414047E-2</v>
      </c>
      <c r="J1218" s="15">
        <v>72.53</v>
      </c>
      <c r="K1218" s="14">
        <v>1179</v>
      </c>
      <c r="L1218" s="14">
        <v>357</v>
      </c>
      <c r="M1218" s="15">
        <v>12.25</v>
      </c>
      <c r="N1218" s="17">
        <v>151923.75</v>
      </c>
      <c r="O1218" s="17">
        <v>20782.43959933626</v>
      </c>
      <c r="P1218" s="17">
        <v>7993.4731534819512</v>
      </c>
      <c r="Q1218" s="17">
        <v>123147.8372471818</v>
      </c>
      <c r="R1218" s="17">
        <v>101324.41</v>
      </c>
      <c r="S1218" s="17">
        <v>21823.427247181771</v>
      </c>
      <c r="T1218" s="17">
        <v>4373.25</v>
      </c>
    </row>
    <row r="1219" spans="1:20" x14ac:dyDescent="0.3">
      <c r="A1219" s="13">
        <v>46022</v>
      </c>
      <c r="B1219" s="7" t="s">
        <v>137</v>
      </c>
      <c r="C1219" s="7" t="s">
        <v>31</v>
      </c>
      <c r="D1219" s="7" t="s">
        <v>102</v>
      </c>
      <c r="E1219" s="7" t="s">
        <v>30</v>
      </c>
      <c r="F1219" s="14">
        <v>532</v>
      </c>
      <c r="G1219" s="15">
        <v>95.08</v>
      </c>
      <c r="H1219" s="16">
        <v>6.6827981069241649E-2</v>
      </c>
      <c r="I1219" s="16">
        <v>2.7937003012077681E-2</v>
      </c>
      <c r="J1219" s="15">
        <v>71.88</v>
      </c>
      <c r="K1219" s="14">
        <v>45</v>
      </c>
      <c r="L1219" s="14">
        <v>2</v>
      </c>
      <c r="M1219" s="15">
        <v>5.15</v>
      </c>
      <c r="N1219" s="17">
        <v>50582.559999999998</v>
      </c>
      <c r="O1219" s="17">
        <v>3380.3303621137802</v>
      </c>
      <c r="P1219" s="17">
        <v>1318.68883157041</v>
      </c>
      <c r="Q1219" s="17">
        <v>45883.540806315803</v>
      </c>
      <c r="R1219" s="17">
        <v>38240.160000000003</v>
      </c>
      <c r="S1219" s="17">
        <v>7643.3808063158067</v>
      </c>
      <c r="T1219" s="17">
        <v>10.3</v>
      </c>
    </row>
    <row r="1220" spans="1:20" x14ac:dyDescent="0.3">
      <c r="A1220" s="13">
        <v>46022</v>
      </c>
      <c r="B1220" s="7" t="s">
        <v>137</v>
      </c>
      <c r="C1220" s="7" t="s">
        <v>31</v>
      </c>
      <c r="D1220" s="7" t="s">
        <v>103</v>
      </c>
      <c r="E1220" s="7" t="s">
        <v>25</v>
      </c>
      <c r="F1220" s="14">
        <v>1567</v>
      </c>
      <c r="G1220" s="15">
        <v>219.44</v>
      </c>
      <c r="H1220" s="16">
        <v>7.5018373273508285E-2</v>
      </c>
      <c r="I1220" s="16">
        <v>4.3232471875335618E-2</v>
      </c>
      <c r="J1220" s="15">
        <v>116.12</v>
      </c>
      <c r="K1220" s="14">
        <v>1097</v>
      </c>
      <c r="L1220" s="14">
        <v>405</v>
      </c>
      <c r="M1220" s="15">
        <v>33.17</v>
      </c>
      <c r="N1220" s="17">
        <v>343862.48</v>
      </c>
      <c r="O1220" s="17">
        <v>25796.00387939428</v>
      </c>
      <c r="P1220" s="17">
        <v>13750.7999833712</v>
      </c>
      <c r="Q1220" s="17">
        <v>304315.67613723449</v>
      </c>
      <c r="R1220" s="17">
        <v>181960.04</v>
      </c>
      <c r="S1220" s="17">
        <v>122355.6361372345</v>
      </c>
      <c r="T1220" s="17">
        <v>13433.85</v>
      </c>
    </row>
    <row r="1221" spans="1:20" x14ac:dyDescent="0.3">
      <c r="A1221" s="13">
        <v>46022</v>
      </c>
      <c r="B1221" s="7" t="s">
        <v>137</v>
      </c>
      <c r="C1221" s="7" t="s">
        <v>31</v>
      </c>
      <c r="D1221" s="7" t="s">
        <v>103</v>
      </c>
      <c r="E1221" s="7" t="s">
        <v>28</v>
      </c>
      <c r="F1221" s="14">
        <v>634</v>
      </c>
      <c r="G1221" s="15">
        <v>197.87</v>
      </c>
      <c r="H1221" s="16">
        <v>0.13480828367833461</v>
      </c>
      <c r="I1221" s="16">
        <v>6.5029758845959615E-2</v>
      </c>
      <c r="J1221" s="15">
        <v>122.43</v>
      </c>
      <c r="K1221" s="14">
        <v>564</v>
      </c>
      <c r="L1221" s="14">
        <v>153</v>
      </c>
      <c r="M1221" s="15">
        <v>14.9</v>
      </c>
      <c r="N1221" s="17">
        <v>125449.58</v>
      </c>
      <c r="O1221" s="17">
        <v>16911.642567967931</v>
      </c>
      <c r="P1221" s="17">
        <v>7058.1958968428989</v>
      </c>
      <c r="Q1221" s="17">
        <v>101479.7415351892</v>
      </c>
      <c r="R1221" s="17">
        <v>77620.62000000001</v>
      </c>
      <c r="S1221" s="17">
        <v>23859.12153518917</v>
      </c>
      <c r="T1221" s="17">
        <v>2279.6999999999998</v>
      </c>
    </row>
    <row r="1222" spans="1:20" x14ac:dyDescent="0.3">
      <c r="A1222" s="13">
        <v>46022</v>
      </c>
      <c r="B1222" s="7" t="s">
        <v>137</v>
      </c>
      <c r="C1222" s="7" t="s">
        <v>31</v>
      </c>
      <c r="D1222" s="7" t="s">
        <v>103</v>
      </c>
      <c r="E1222" s="7" t="s">
        <v>30</v>
      </c>
      <c r="F1222" s="14">
        <v>441</v>
      </c>
      <c r="G1222" s="15">
        <v>176.89</v>
      </c>
      <c r="H1222" s="16">
        <v>6.8790522547846983E-2</v>
      </c>
      <c r="I1222" s="16">
        <v>1.408457242375117E-2</v>
      </c>
      <c r="J1222" s="15">
        <v>125.18</v>
      </c>
      <c r="K1222" s="14">
        <v>39</v>
      </c>
      <c r="L1222" s="14">
        <v>2</v>
      </c>
      <c r="M1222" s="15">
        <v>5.45</v>
      </c>
      <c r="N1222" s="17">
        <v>78008.489999999991</v>
      </c>
      <c r="O1222" s="17">
        <v>5366.2447902684953</v>
      </c>
      <c r="P1222" s="17">
        <v>1023.134963680355</v>
      </c>
      <c r="Q1222" s="17">
        <v>71619.110246051147</v>
      </c>
      <c r="R1222" s="17">
        <v>55204.38</v>
      </c>
      <c r="S1222" s="17">
        <v>16414.730246051138</v>
      </c>
      <c r="T1222" s="17">
        <v>10.9</v>
      </c>
    </row>
    <row r="1223" spans="1:20" x14ac:dyDescent="0.3">
      <c r="A1223" s="13">
        <v>46022</v>
      </c>
      <c r="B1223" s="7" t="s">
        <v>137</v>
      </c>
      <c r="C1223" s="7" t="s">
        <v>31</v>
      </c>
      <c r="D1223" s="7" t="s">
        <v>104</v>
      </c>
      <c r="E1223" s="7" t="s">
        <v>25</v>
      </c>
      <c r="F1223" s="14">
        <v>1633</v>
      </c>
      <c r="G1223" s="15">
        <v>42.28</v>
      </c>
      <c r="H1223" s="16">
        <v>9.2124178663586548E-2</v>
      </c>
      <c r="I1223" s="16">
        <v>4.9765065890631649E-2</v>
      </c>
      <c r="J1223" s="15">
        <v>20.94</v>
      </c>
      <c r="K1223" s="14">
        <v>1080</v>
      </c>
      <c r="L1223" s="14">
        <v>431</v>
      </c>
      <c r="M1223" s="15">
        <v>30.82</v>
      </c>
      <c r="N1223" s="17">
        <v>69043.240000000005</v>
      </c>
      <c r="O1223" s="17">
        <v>6360.5517772728854</v>
      </c>
      <c r="P1223" s="17">
        <v>3119.4081096059349</v>
      </c>
      <c r="Q1223" s="17">
        <v>59563.280113121182</v>
      </c>
      <c r="R1223" s="17">
        <v>34195.019999999997</v>
      </c>
      <c r="S1223" s="17">
        <v>25368.260113121181</v>
      </c>
      <c r="T1223" s="17">
        <v>13283.42</v>
      </c>
    </row>
    <row r="1224" spans="1:20" x14ac:dyDescent="0.3">
      <c r="A1224" s="13">
        <v>46022</v>
      </c>
      <c r="B1224" s="7" t="s">
        <v>137</v>
      </c>
      <c r="C1224" s="7" t="s">
        <v>31</v>
      </c>
      <c r="D1224" s="7" t="s">
        <v>104</v>
      </c>
      <c r="E1224" s="7" t="s">
        <v>28</v>
      </c>
      <c r="F1224" s="14">
        <v>443</v>
      </c>
      <c r="G1224" s="15">
        <v>42.24</v>
      </c>
      <c r="H1224" s="16">
        <v>0.11760098312587521</v>
      </c>
      <c r="I1224" s="16">
        <v>6.3082296413400296E-2</v>
      </c>
      <c r="J1224" s="15">
        <v>22.4</v>
      </c>
      <c r="K1224" s="14">
        <v>359</v>
      </c>
      <c r="L1224" s="14">
        <v>110</v>
      </c>
      <c r="M1224" s="15">
        <v>18.010000000000002</v>
      </c>
      <c r="N1224" s="17">
        <v>18712.32</v>
      </c>
      <c r="O1224" s="17">
        <v>2200.5872285659771</v>
      </c>
      <c r="P1224" s="17">
        <v>1041.598020986457</v>
      </c>
      <c r="Q1224" s="17">
        <v>15470.134750447571</v>
      </c>
      <c r="R1224" s="17">
        <v>9923.1999999999989</v>
      </c>
      <c r="S1224" s="17">
        <v>5546.9347504475681</v>
      </c>
      <c r="T1224" s="17">
        <v>1981.1</v>
      </c>
    </row>
    <row r="1225" spans="1:20" x14ac:dyDescent="0.3">
      <c r="A1225" s="13">
        <v>46022</v>
      </c>
      <c r="B1225" s="7" t="s">
        <v>137</v>
      </c>
      <c r="C1225" s="7" t="s">
        <v>31</v>
      </c>
      <c r="D1225" s="7" t="s">
        <v>104</v>
      </c>
      <c r="E1225" s="7" t="s">
        <v>30</v>
      </c>
      <c r="F1225" s="14">
        <v>322</v>
      </c>
      <c r="G1225" s="15">
        <v>36.200000000000003</v>
      </c>
      <c r="H1225" s="16">
        <v>6.153164889523139E-2</v>
      </c>
      <c r="I1225" s="16">
        <v>1.7703898010053801E-2</v>
      </c>
      <c r="J1225" s="15">
        <v>22.21</v>
      </c>
      <c r="K1225" s="14">
        <v>28</v>
      </c>
      <c r="L1225" s="14">
        <v>2</v>
      </c>
      <c r="M1225" s="15">
        <v>3.62</v>
      </c>
      <c r="N1225" s="17">
        <v>11656.4</v>
      </c>
      <c r="O1225" s="17">
        <v>717.23751218237521</v>
      </c>
      <c r="P1225" s="17">
        <v>193.6658169997296</v>
      </c>
      <c r="Q1225" s="17">
        <v>10745.4966708179</v>
      </c>
      <c r="R1225" s="17">
        <v>7151.62</v>
      </c>
      <c r="S1225" s="17">
        <v>3593.876670817896</v>
      </c>
      <c r="T1225" s="17">
        <v>7.24</v>
      </c>
    </row>
    <row r="1226" spans="1:20" x14ac:dyDescent="0.3">
      <c r="A1226" s="13">
        <v>46053</v>
      </c>
      <c r="B1226" s="7" t="s">
        <v>138</v>
      </c>
      <c r="C1226" s="7" t="s">
        <v>24</v>
      </c>
      <c r="D1226" s="7" t="s">
        <v>102</v>
      </c>
      <c r="E1226" s="7" t="s">
        <v>25</v>
      </c>
      <c r="F1226" s="14">
        <v>6803</v>
      </c>
      <c r="G1226" s="15">
        <v>129.47999999999999</v>
      </c>
      <c r="H1226" s="16">
        <v>5.2667829120860973E-2</v>
      </c>
      <c r="I1226" s="16">
        <v>3.5446575768546873E-2</v>
      </c>
      <c r="J1226" s="15">
        <v>74.13</v>
      </c>
      <c r="K1226" s="14">
        <v>4790</v>
      </c>
      <c r="L1226" s="14">
        <v>1749</v>
      </c>
      <c r="M1226" s="15">
        <v>44.47</v>
      </c>
      <c r="N1226" s="17">
        <v>880852.44</v>
      </c>
      <c r="O1226" s="17">
        <v>46392.585790613433</v>
      </c>
      <c r="P1226" s="17">
        <v>29578.744448043599</v>
      </c>
      <c r="Q1226" s="17">
        <v>804881.10976134287</v>
      </c>
      <c r="R1226" s="17">
        <v>504306.39</v>
      </c>
      <c r="S1226" s="17">
        <v>300574.71976134292</v>
      </c>
      <c r="T1226" s="17">
        <v>77778.03</v>
      </c>
    </row>
    <row r="1227" spans="1:20" x14ac:dyDescent="0.3">
      <c r="A1227" s="13">
        <v>46053</v>
      </c>
      <c r="B1227" s="7" t="s">
        <v>138</v>
      </c>
      <c r="C1227" s="7" t="s">
        <v>24</v>
      </c>
      <c r="D1227" s="7" t="s">
        <v>102</v>
      </c>
      <c r="E1227" s="7" t="s">
        <v>28</v>
      </c>
      <c r="F1227" s="14">
        <v>4166</v>
      </c>
      <c r="G1227" s="15">
        <v>121.78</v>
      </c>
      <c r="H1227" s="16">
        <v>7.3498077697672262E-2</v>
      </c>
      <c r="I1227" s="16">
        <v>4.3396945626989147E-2</v>
      </c>
      <c r="J1227" s="15">
        <v>77.92</v>
      </c>
      <c r="K1227" s="14">
        <v>3614</v>
      </c>
      <c r="L1227" s="14">
        <v>1160</v>
      </c>
      <c r="M1227" s="15">
        <v>16.23</v>
      </c>
      <c r="N1227" s="17">
        <v>507335.48</v>
      </c>
      <c r="O1227" s="17">
        <v>37288.182527825848</v>
      </c>
      <c r="P1227" s="17">
        <v>20398.617010513139</v>
      </c>
      <c r="Q1227" s="17">
        <v>449648.68046166102</v>
      </c>
      <c r="R1227" s="17">
        <v>324614.71999999997</v>
      </c>
      <c r="S1227" s="17">
        <v>125033.960461661</v>
      </c>
      <c r="T1227" s="17">
        <v>18826.8</v>
      </c>
    </row>
    <row r="1228" spans="1:20" x14ac:dyDescent="0.3">
      <c r="A1228" s="13">
        <v>46053</v>
      </c>
      <c r="B1228" s="7" t="s">
        <v>138</v>
      </c>
      <c r="C1228" s="7" t="s">
        <v>24</v>
      </c>
      <c r="D1228" s="7" t="s">
        <v>102</v>
      </c>
      <c r="E1228" s="7" t="s">
        <v>30</v>
      </c>
      <c r="F1228" s="14">
        <v>2200</v>
      </c>
      <c r="G1228" s="15">
        <v>109.68</v>
      </c>
      <c r="H1228" s="16">
        <v>4.1505706124272262E-2</v>
      </c>
      <c r="I1228" s="16">
        <v>1.5859097180632459E-2</v>
      </c>
      <c r="J1228" s="15">
        <v>76.459999999999994</v>
      </c>
      <c r="K1228" s="14">
        <v>180</v>
      </c>
      <c r="L1228" s="14">
        <v>11</v>
      </c>
      <c r="M1228" s="15">
        <v>4.42</v>
      </c>
      <c r="N1228" s="17">
        <v>241296</v>
      </c>
      <c r="O1228" s="17">
        <v>10015.1608649624</v>
      </c>
      <c r="P1228" s="17">
        <v>3667.905303860784</v>
      </c>
      <c r="Q1228" s="17">
        <v>227612.93383117681</v>
      </c>
      <c r="R1228" s="17">
        <v>168212</v>
      </c>
      <c r="S1228" s="17">
        <v>59400.933831176837</v>
      </c>
      <c r="T1228" s="17">
        <v>48.62</v>
      </c>
    </row>
    <row r="1229" spans="1:20" x14ac:dyDescent="0.3">
      <c r="A1229" s="13">
        <v>46053</v>
      </c>
      <c r="B1229" s="7" t="s">
        <v>138</v>
      </c>
      <c r="C1229" s="7" t="s">
        <v>24</v>
      </c>
      <c r="D1229" s="7" t="s">
        <v>103</v>
      </c>
      <c r="E1229" s="7" t="s">
        <v>25</v>
      </c>
      <c r="F1229" s="14">
        <v>3350</v>
      </c>
      <c r="G1229" s="15">
        <v>240.12</v>
      </c>
      <c r="H1229" s="16">
        <v>6.5325012447238179E-2</v>
      </c>
      <c r="I1229" s="16">
        <v>3.1422668233949798E-2</v>
      </c>
      <c r="J1229" s="15">
        <v>126.95</v>
      </c>
      <c r="K1229" s="14">
        <v>2374</v>
      </c>
      <c r="L1229" s="14">
        <v>867</v>
      </c>
      <c r="M1229" s="15">
        <v>35.200000000000003</v>
      </c>
      <c r="N1229" s="17">
        <v>804402</v>
      </c>
      <c r="O1229" s="17">
        <v>52547.570662583283</v>
      </c>
      <c r="P1229" s="17">
        <v>23625.2722932953</v>
      </c>
      <c r="Q1229" s="17">
        <v>728229.15704412153</v>
      </c>
      <c r="R1229" s="17">
        <v>425282.5</v>
      </c>
      <c r="S1229" s="17">
        <v>302946.65704412147</v>
      </c>
      <c r="T1229" s="17">
        <v>30518.400000000001</v>
      </c>
    </row>
    <row r="1230" spans="1:20" x14ac:dyDescent="0.3">
      <c r="A1230" s="13">
        <v>46053</v>
      </c>
      <c r="B1230" s="7" t="s">
        <v>138</v>
      </c>
      <c r="C1230" s="7" t="s">
        <v>24</v>
      </c>
      <c r="D1230" s="7" t="s">
        <v>103</v>
      </c>
      <c r="E1230" s="7" t="s">
        <v>28</v>
      </c>
      <c r="F1230" s="14">
        <v>2267</v>
      </c>
      <c r="G1230" s="15">
        <v>232.01</v>
      </c>
      <c r="H1230" s="16">
        <v>7.5511931300094828E-2</v>
      </c>
      <c r="I1230" s="16">
        <v>6.1733951080198621E-2</v>
      </c>
      <c r="J1230" s="15">
        <v>128.32</v>
      </c>
      <c r="K1230" s="14">
        <v>1935</v>
      </c>
      <c r="L1230" s="14">
        <v>597</v>
      </c>
      <c r="M1230" s="15">
        <v>19.04</v>
      </c>
      <c r="N1230" s="17">
        <v>525966.66999999993</v>
      </c>
      <c r="O1230" s="17">
        <v>39716.759051179637</v>
      </c>
      <c r="P1230" s="17">
        <v>30018.128215265409</v>
      </c>
      <c r="Q1230" s="17">
        <v>456231.78273355489</v>
      </c>
      <c r="R1230" s="17">
        <v>290901.44</v>
      </c>
      <c r="S1230" s="17">
        <v>165330.34273355489</v>
      </c>
      <c r="T1230" s="17">
        <v>11366.88</v>
      </c>
    </row>
    <row r="1231" spans="1:20" x14ac:dyDescent="0.3">
      <c r="A1231" s="13">
        <v>46053</v>
      </c>
      <c r="B1231" s="7" t="s">
        <v>138</v>
      </c>
      <c r="C1231" s="7" t="s">
        <v>24</v>
      </c>
      <c r="D1231" s="7" t="s">
        <v>103</v>
      </c>
      <c r="E1231" s="7" t="s">
        <v>30</v>
      </c>
      <c r="F1231" s="14">
        <v>1279</v>
      </c>
      <c r="G1231" s="15">
        <v>200.03</v>
      </c>
      <c r="H1231" s="16">
        <v>3.2633028603658049E-2</v>
      </c>
      <c r="I1231" s="16">
        <v>1.8400463609985429E-2</v>
      </c>
      <c r="J1231" s="15">
        <v>133.79</v>
      </c>
      <c r="K1231" s="14">
        <v>108</v>
      </c>
      <c r="L1231" s="14">
        <v>6</v>
      </c>
      <c r="M1231" s="15">
        <v>5.29</v>
      </c>
      <c r="N1231" s="17">
        <v>255838.37</v>
      </c>
      <c r="O1231" s="17">
        <v>8348.7808461232507</v>
      </c>
      <c r="P1231" s="17">
        <v>4553.9231790761542</v>
      </c>
      <c r="Q1231" s="17">
        <v>242935.66597480059</v>
      </c>
      <c r="R1231" s="17">
        <v>171117.41</v>
      </c>
      <c r="S1231" s="17">
        <v>71818.255974800588</v>
      </c>
      <c r="T1231" s="17">
        <v>31.74</v>
      </c>
    </row>
    <row r="1232" spans="1:20" x14ac:dyDescent="0.3">
      <c r="A1232" s="13">
        <v>46053</v>
      </c>
      <c r="B1232" s="7" t="s">
        <v>138</v>
      </c>
      <c r="C1232" s="7" t="s">
        <v>24</v>
      </c>
      <c r="D1232" s="7" t="s">
        <v>104</v>
      </c>
      <c r="E1232" s="7" t="s">
        <v>25</v>
      </c>
      <c r="F1232" s="14">
        <v>2746</v>
      </c>
      <c r="G1232" s="15">
        <v>48.44</v>
      </c>
      <c r="H1232" s="16">
        <v>7.5414402701486458E-2</v>
      </c>
      <c r="I1232" s="16">
        <v>4.0459609360489333E-2</v>
      </c>
      <c r="J1232" s="15">
        <v>23.38</v>
      </c>
      <c r="K1232" s="14">
        <v>2037</v>
      </c>
      <c r="L1232" s="14">
        <v>711</v>
      </c>
      <c r="M1232" s="15">
        <v>25.09</v>
      </c>
      <c r="N1232" s="17">
        <v>133016.24</v>
      </c>
      <c r="O1232" s="17">
        <v>10031.340289197569</v>
      </c>
      <c r="P1232" s="17">
        <v>4975.9209995380234</v>
      </c>
      <c r="Q1232" s="17">
        <v>118008.9787112644</v>
      </c>
      <c r="R1232" s="17">
        <v>64201.48</v>
      </c>
      <c r="S1232" s="17">
        <v>53807.498711264401</v>
      </c>
      <c r="T1232" s="17">
        <v>17838.990000000002</v>
      </c>
    </row>
    <row r="1233" spans="1:20" x14ac:dyDescent="0.3">
      <c r="A1233" s="13">
        <v>46053</v>
      </c>
      <c r="B1233" s="7" t="s">
        <v>138</v>
      </c>
      <c r="C1233" s="7" t="s">
        <v>24</v>
      </c>
      <c r="D1233" s="7" t="s">
        <v>104</v>
      </c>
      <c r="E1233" s="7" t="s">
        <v>28</v>
      </c>
      <c r="F1233" s="14">
        <v>1358</v>
      </c>
      <c r="G1233" s="15">
        <v>46.67</v>
      </c>
      <c r="H1233" s="16">
        <v>8.5470536267553604E-2</v>
      </c>
      <c r="I1233" s="16">
        <v>6.3839657196281568E-2</v>
      </c>
      <c r="J1233" s="15">
        <v>22.76</v>
      </c>
      <c r="K1233" s="14">
        <v>1156</v>
      </c>
      <c r="L1233" s="14">
        <v>324</v>
      </c>
      <c r="M1233" s="15">
        <v>22.06</v>
      </c>
      <c r="N1233" s="17">
        <v>63377.86</v>
      </c>
      <c r="O1233" s="17">
        <v>5416.9396816899352</v>
      </c>
      <c r="P1233" s="17">
        <v>3700.2052839019061</v>
      </c>
      <c r="Q1233" s="17">
        <v>54260.715034408153</v>
      </c>
      <c r="R1233" s="17">
        <v>30908.080000000002</v>
      </c>
      <c r="S1233" s="17">
        <v>23352.635034408151</v>
      </c>
      <c r="T1233" s="17">
        <v>7147.44</v>
      </c>
    </row>
    <row r="1234" spans="1:20" x14ac:dyDescent="0.3">
      <c r="A1234" s="13">
        <v>46053</v>
      </c>
      <c r="B1234" s="7" t="s">
        <v>138</v>
      </c>
      <c r="C1234" s="7" t="s">
        <v>24</v>
      </c>
      <c r="D1234" s="7" t="s">
        <v>104</v>
      </c>
      <c r="E1234" s="7" t="s">
        <v>30</v>
      </c>
      <c r="F1234" s="14">
        <v>1182</v>
      </c>
      <c r="G1234" s="15">
        <v>40.72</v>
      </c>
      <c r="H1234" s="16">
        <v>3.5330148681960979E-2</v>
      </c>
      <c r="I1234" s="16">
        <v>1.7782852908824819E-2</v>
      </c>
      <c r="J1234" s="15">
        <v>23.36</v>
      </c>
      <c r="K1234" s="14">
        <v>97</v>
      </c>
      <c r="L1234" s="14">
        <v>6</v>
      </c>
      <c r="M1234" s="15">
        <v>6.45</v>
      </c>
      <c r="N1234" s="17">
        <v>48131.040000000001</v>
      </c>
      <c r="O1234" s="17">
        <v>1700.476799417411</v>
      </c>
      <c r="P1234" s="17">
        <v>825.66787586985492</v>
      </c>
      <c r="Q1234" s="17">
        <v>45604.895324712743</v>
      </c>
      <c r="R1234" s="17">
        <v>27611.52</v>
      </c>
      <c r="S1234" s="17">
        <v>17993.375324712739</v>
      </c>
      <c r="T1234" s="17">
        <v>38.700000000000003</v>
      </c>
    </row>
    <row r="1235" spans="1:20" x14ac:dyDescent="0.3">
      <c r="A1235" s="13">
        <v>46053</v>
      </c>
      <c r="B1235" s="7" t="s">
        <v>138</v>
      </c>
      <c r="C1235" s="7" t="s">
        <v>27</v>
      </c>
      <c r="D1235" s="7" t="s">
        <v>102</v>
      </c>
      <c r="E1235" s="7" t="s">
        <v>25</v>
      </c>
      <c r="F1235" s="14">
        <v>6292</v>
      </c>
      <c r="G1235" s="15">
        <v>139.49</v>
      </c>
      <c r="H1235" s="16">
        <v>5.9626580058803592E-2</v>
      </c>
      <c r="I1235" s="16">
        <v>4.97048845961338E-2</v>
      </c>
      <c r="J1235" s="15">
        <v>74.98</v>
      </c>
      <c r="K1235" s="14">
        <v>4502</v>
      </c>
      <c r="L1235" s="14">
        <v>1749</v>
      </c>
      <c r="M1235" s="15">
        <v>35.67</v>
      </c>
      <c r="N1235" s="17">
        <v>877671.08000000007</v>
      </c>
      <c r="O1235" s="17">
        <v>52332.524916916613</v>
      </c>
      <c r="P1235" s="17">
        <v>41023.357633144493</v>
      </c>
      <c r="Q1235" s="17">
        <v>784315.19744993898</v>
      </c>
      <c r="R1235" s="17">
        <v>471774.16</v>
      </c>
      <c r="S1235" s="17">
        <v>312541.03744993889</v>
      </c>
      <c r="T1235" s="17">
        <v>62386.83</v>
      </c>
    </row>
    <row r="1236" spans="1:20" x14ac:dyDescent="0.3">
      <c r="A1236" s="13">
        <v>46053</v>
      </c>
      <c r="B1236" s="7" t="s">
        <v>138</v>
      </c>
      <c r="C1236" s="7" t="s">
        <v>27</v>
      </c>
      <c r="D1236" s="7" t="s">
        <v>102</v>
      </c>
      <c r="E1236" s="7" t="s">
        <v>28</v>
      </c>
      <c r="F1236" s="14">
        <v>3664</v>
      </c>
      <c r="G1236" s="15">
        <v>135.62</v>
      </c>
      <c r="H1236" s="16">
        <v>0.1030670813083274</v>
      </c>
      <c r="I1236" s="16">
        <v>4.9232201784689462E-2</v>
      </c>
      <c r="J1236" s="15">
        <v>79.78</v>
      </c>
      <c r="K1236" s="14">
        <v>3183</v>
      </c>
      <c r="L1236" s="14">
        <v>1036</v>
      </c>
      <c r="M1236" s="15">
        <v>20.12</v>
      </c>
      <c r="N1236" s="17">
        <v>496911.68</v>
      </c>
      <c r="O1236" s="17">
        <v>51215.23652561754</v>
      </c>
      <c r="P1236" s="17">
        <v>21942.617239849242</v>
      </c>
      <c r="Q1236" s="17">
        <v>423753.82623453322</v>
      </c>
      <c r="R1236" s="17">
        <v>292313.92</v>
      </c>
      <c r="S1236" s="17">
        <v>131439.90623453321</v>
      </c>
      <c r="T1236" s="17">
        <v>20844.32</v>
      </c>
    </row>
    <row r="1237" spans="1:20" x14ac:dyDescent="0.3">
      <c r="A1237" s="13">
        <v>46053</v>
      </c>
      <c r="B1237" s="7" t="s">
        <v>138</v>
      </c>
      <c r="C1237" s="7" t="s">
        <v>27</v>
      </c>
      <c r="D1237" s="7" t="s">
        <v>102</v>
      </c>
      <c r="E1237" s="7" t="s">
        <v>30</v>
      </c>
      <c r="F1237" s="14">
        <v>2033</v>
      </c>
      <c r="G1237" s="15">
        <v>117.12</v>
      </c>
      <c r="H1237" s="16">
        <v>4.0572772248149792E-2</v>
      </c>
      <c r="I1237" s="16">
        <v>1.4851945144553E-2</v>
      </c>
      <c r="J1237" s="15">
        <v>78.45</v>
      </c>
      <c r="K1237" s="14">
        <v>178</v>
      </c>
      <c r="L1237" s="14">
        <v>10</v>
      </c>
      <c r="M1237" s="15">
        <v>3.45</v>
      </c>
      <c r="N1237" s="17">
        <v>238104.95999999999</v>
      </c>
      <c r="O1237" s="17">
        <v>9660.5783132348151</v>
      </c>
      <c r="P1237" s="17">
        <v>3392.8434253931641</v>
      </c>
      <c r="Q1237" s="17">
        <v>225051.53826137201</v>
      </c>
      <c r="R1237" s="17">
        <v>159488.85</v>
      </c>
      <c r="S1237" s="17">
        <v>65562.688261372037</v>
      </c>
      <c r="T1237" s="17">
        <v>34.5</v>
      </c>
    </row>
    <row r="1238" spans="1:20" x14ac:dyDescent="0.3">
      <c r="A1238" s="13">
        <v>46053</v>
      </c>
      <c r="B1238" s="7" t="s">
        <v>138</v>
      </c>
      <c r="C1238" s="7" t="s">
        <v>27</v>
      </c>
      <c r="D1238" s="7" t="s">
        <v>103</v>
      </c>
      <c r="E1238" s="7" t="s">
        <v>25</v>
      </c>
      <c r="F1238" s="14">
        <v>2912</v>
      </c>
      <c r="G1238" s="15">
        <v>257.58999999999997</v>
      </c>
      <c r="H1238" s="16">
        <v>5.7888788733427309E-2</v>
      </c>
      <c r="I1238" s="16">
        <v>4.688259710772414E-2</v>
      </c>
      <c r="J1238" s="15">
        <v>135.77000000000001</v>
      </c>
      <c r="K1238" s="14">
        <v>2012</v>
      </c>
      <c r="L1238" s="14">
        <v>741</v>
      </c>
      <c r="M1238" s="15">
        <v>27.94</v>
      </c>
      <c r="N1238" s="17">
        <v>750102.08</v>
      </c>
      <c r="O1238" s="17">
        <v>43422.500837624393</v>
      </c>
      <c r="P1238" s="17">
        <v>33130.973994125699</v>
      </c>
      <c r="Q1238" s="17">
        <v>673548.60516824981</v>
      </c>
      <c r="R1238" s="17">
        <v>395362.24</v>
      </c>
      <c r="S1238" s="17">
        <v>278186.36516824982</v>
      </c>
      <c r="T1238" s="17">
        <v>20703.54</v>
      </c>
    </row>
    <row r="1239" spans="1:20" x14ac:dyDescent="0.3">
      <c r="A1239" s="13">
        <v>46053</v>
      </c>
      <c r="B1239" s="7" t="s">
        <v>138</v>
      </c>
      <c r="C1239" s="7" t="s">
        <v>27</v>
      </c>
      <c r="D1239" s="7" t="s">
        <v>103</v>
      </c>
      <c r="E1239" s="7" t="s">
        <v>28</v>
      </c>
      <c r="F1239" s="14">
        <v>941</v>
      </c>
      <c r="G1239" s="15">
        <v>247.66</v>
      </c>
      <c r="H1239" s="16">
        <v>9.1670687674077725E-2</v>
      </c>
      <c r="I1239" s="16">
        <v>6.4680931975901065E-2</v>
      </c>
      <c r="J1239" s="15">
        <v>137.01</v>
      </c>
      <c r="K1239" s="14">
        <v>805</v>
      </c>
      <c r="L1239" s="14">
        <v>231</v>
      </c>
      <c r="M1239" s="15">
        <v>13.91</v>
      </c>
      <c r="N1239" s="17">
        <v>233048.06</v>
      </c>
      <c r="O1239" s="17">
        <v>21363.675921309721</v>
      </c>
      <c r="P1239" s="17">
        <v>13691.943246954281</v>
      </c>
      <c r="Q1239" s="17">
        <v>197992.44083173599</v>
      </c>
      <c r="R1239" s="17">
        <v>128926.41</v>
      </c>
      <c r="S1239" s="17">
        <v>69066.030831736003</v>
      </c>
      <c r="T1239" s="17">
        <v>3213.21</v>
      </c>
    </row>
    <row r="1240" spans="1:20" x14ac:dyDescent="0.3">
      <c r="A1240" s="13">
        <v>46053</v>
      </c>
      <c r="B1240" s="7" t="s">
        <v>138</v>
      </c>
      <c r="C1240" s="7" t="s">
        <v>27</v>
      </c>
      <c r="D1240" s="7" t="s">
        <v>103</v>
      </c>
      <c r="E1240" s="7" t="s">
        <v>30</v>
      </c>
      <c r="F1240" s="14">
        <v>622</v>
      </c>
      <c r="G1240" s="15">
        <v>226.63</v>
      </c>
      <c r="H1240" s="16">
        <v>5.098706281339533E-2</v>
      </c>
      <c r="I1240" s="16">
        <v>1.9035093161196549E-2</v>
      </c>
      <c r="J1240" s="15">
        <v>126.43</v>
      </c>
      <c r="K1240" s="14">
        <v>51</v>
      </c>
      <c r="L1240" s="14">
        <v>3</v>
      </c>
      <c r="M1240" s="15">
        <v>2.89</v>
      </c>
      <c r="N1240" s="17">
        <v>140963.85999999999</v>
      </c>
      <c r="O1240" s="17">
        <v>7187.3331842386651</v>
      </c>
      <c r="P1240" s="17">
        <v>2546.448650719326</v>
      </c>
      <c r="Q1240" s="17">
        <v>131230.07816504201</v>
      </c>
      <c r="R1240" s="17">
        <v>78639.460000000006</v>
      </c>
      <c r="S1240" s="17">
        <v>52590.618165041968</v>
      </c>
      <c r="T1240" s="17">
        <v>8.67</v>
      </c>
    </row>
    <row r="1241" spans="1:20" x14ac:dyDescent="0.3">
      <c r="A1241" s="13">
        <v>46053</v>
      </c>
      <c r="B1241" s="7" t="s">
        <v>138</v>
      </c>
      <c r="C1241" s="7" t="s">
        <v>27</v>
      </c>
      <c r="D1241" s="7" t="s">
        <v>104</v>
      </c>
      <c r="E1241" s="7" t="s">
        <v>25</v>
      </c>
      <c r="F1241" s="14">
        <v>1728</v>
      </c>
      <c r="G1241" s="15">
        <v>54.98</v>
      </c>
      <c r="H1241" s="16">
        <v>6.2046645710924581E-2</v>
      </c>
      <c r="I1241" s="16">
        <v>3.1101552290588589E-2</v>
      </c>
      <c r="J1241" s="15">
        <v>23.78</v>
      </c>
      <c r="K1241" s="14">
        <v>1182</v>
      </c>
      <c r="L1241" s="14">
        <v>484</v>
      </c>
      <c r="M1241" s="15">
        <v>33.46</v>
      </c>
      <c r="N1241" s="17">
        <v>95005.439999999988</v>
      </c>
      <c r="O1241" s="17">
        <v>5894.7688762905018</v>
      </c>
      <c r="P1241" s="17">
        <v>2771.4801976034928</v>
      </c>
      <c r="Q1241" s="17">
        <v>86339.190926105992</v>
      </c>
      <c r="R1241" s="17">
        <v>41091.839999999997</v>
      </c>
      <c r="S1241" s="17">
        <v>45247.350926105988</v>
      </c>
      <c r="T1241" s="17">
        <v>16194.64</v>
      </c>
    </row>
    <row r="1242" spans="1:20" x14ac:dyDescent="0.3">
      <c r="A1242" s="13">
        <v>46053</v>
      </c>
      <c r="B1242" s="7" t="s">
        <v>138</v>
      </c>
      <c r="C1242" s="7" t="s">
        <v>27</v>
      </c>
      <c r="D1242" s="7" t="s">
        <v>104</v>
      </c>
      <c r="E1242" s="7" t="s">
        <v>28</v>
      </c>
      <c r="F1242" s="14">
        <v>994</v>
      </c>
      <c r="G1242" s="15">
        <v>51.4</v>
      </c>
      <c r="H1242" s="16">
        <v>9.5749798055869056E-2</v>
      </c>
      <c r="I1242" s="16">
        <v>4.3940003907147321E-2</v>
      </c>
      <c r="J1242" s="15">
        <v>23.91</v>
      </c>
      <c r="K1242" s="14">
        <v>841</v>
      </c>
      <c r="L1242" s="14">
        <v>237</v>
      </c>
      <c r="M1242" s="15">
        <v>20.23</v>
      </c>
      <c r="N1242" s="17">
        <v>51091.6</v>
      </c>
      <c r="O1242" s="17">
        <v>4892.0103823512391</v>
      </c>
      <c r="P1242" s="17">
        <v>2030.0101483080889</v>
      </c>
      <c r="Q1242" s="17">
        <v>44169.579469340671</v>
      </c>
      <c r="R1242" s="17">
        <v>23766.54</v>
      </c>
      <c r="S1242" s="17">
        <v>20403.039469340671</v>
      </c>
      <c r="T1242" s="17">
        <v>4794.51</v>
      </c>
    </row>
    <row r="1243" spans="1:20" x14ac:dyDescent="0.3">
      <c r="A1243" s="13">
        <v>46053</v>
      </c>
      <c r="B1243" s="7" t="s">
        <v>138</v>
      </c>
      <c r="C1243" s="7" t="s">
        <v>27</v>
      </c>
      <c r="D1243" s="7" t="s">
        <v>104</v>
      </c>
      <c r="E1243" s="7" t="s">
        <v>30</v>
      </c>
      <c r="F1243" s="14">
        <v>673</v>
      </c>
      <c r="G1243" s="15">
        <v>43.59</v>
      </c>
      <c r="H1243" s="16">
        <v>3.9938766397654403E-2</v>
      </c>
      <c r="I1243" s="16">
        <v>2.0316916963188589E-2</v>
      </c>
      <c r="J1243" s="15">
        <v>23.95</v>
      </c>
      <c r="K1243" s="14">
        <v>60</v>
      </c>
      <c r="L1243" s="14">
        <v>4</v>
      </c>
      <c r="M1243" s="15">
        <v>4.18</v>
      </c>
      <c r="N1243" s="17">
        <v>29336.07</v>
      </c>
      <c r="O1243" s="17">
        <v>1171.646446755238</v>
      </c>
      <c r="P1243" s="17">
        <v>572.21425464734682</v>
      </c>
      <c r="Q1243" s="17">
        <v>27592.20929859742</v>
      </c>
      <c r="R1243" s="17">
        <v>16118.35</v>
      </c>
      <c r="S1243" s="17">
        <v>11473.859298597419</v>
      </c>
      <c r="T1243" s="17">
        <v>16.72</v>
      </c>
    </row>
    <row r="1244" spans="1:20" x14ac:dyDescent="0.3">
      <c r="A1244" s="13">
        <v>46053</v>
      </c>
      <c r="B1244" s="7" t="s">
        <v>138</v>
      </c>
      <c r="C1244" s="7" t="s">
        <v>29</v>
      </c>
      <c r="D1244" s="7" t="s">
        <v>102</v>
      </c>
      <c r="E1244" s="7" t="s">
        <v>25</v>
      </c>
      <c r="F1244" s="14">
        <v>4730</v>
      </c>
      <c r="G1244" s="15">
        <v>131</v>
      </c>
      <c r="H1244" s="16">
        <v>5.5124040875895577E-2</v>
      </c>
      <c r="I1244" s="16">
        <v>5.6742707660711302E-2</v>
      </c>
      <c r="J1244" s="15">
        <v>71.44</v>
      </c>
      <c r="K1244" s="14">
        <v>3372</v>
      </c>
      <c r="L1244" s="14">
        <v>1328</v>
      </c>
      <c r="M1244" s="15">
        <v>26.17</v>
      </c>
      <c r="N1244" s="17">
        <v>619630</v>
      </c>
      <c r="O1244" s="17">
        <v>34156.509447931181</v>
      </c>
      <c r="P1244" s="17">
        <v>33221.351117492261</v>
      </c>
      <c r="Q1244" s="17">
        <v>552252.1394345765</v>
      </c>
      <c r="R1244" s="17">
        <v>337911.2</v>
      </c>
      <c r="S1244" s="17">
        <v>214340.93943457649</v>
      </c>
      <c r="T1244" s="17">
        <v>34753.760000000002</v>
      </c>
    </row>
    <row r="1245" spans="1:20" x14ac:dyDescent="0.3">
      <c r="A1245" s="13">
        <v>46053</v>
      </c>
      <c r="B1245" s="7" t="s">
        <v>138</v>
      </c>
      <c r="C1245" s="7" t="s">
        <v>29</v>
      </c>
      <c r="D1245" s="7" t="s">
        <v>102</v>
      </c>
      <c r="E1245" s="7" t="s">
        <v>28</v>
      </c>
      <c r="F1245" s="14">
        <v>1380</v>
      </c>
      <c r="G1245" s="15">
        <v>120.21</v>
      </c>
      <c r="H1245" s="16">
        <v>9.3292527711876072E-2</v>
      </c>
      <c r="I1245" s="16">
        <v>4.2105399434712948E-2</v>
      </c>
      <c r="J1245" s="15">
        <v>72.56</v>
      </c>
      <c r="K1245" s="14">
        <v>1129</v>
      </c>
      <c r="L1245" s="14">
        <v>328</v>
      </c>
      <c r="M1245" s="15">
        <v>16.8</v>
      </c>
      <c r="N1245" s="17">
        <v>165889.79999999999</v>
      </c>
      <c r="O1245" s="17">
        <v>15476.27876361758</v>
      </c>
      <c r="P1245" s="17">
        <v>6333.2213920395607</v>
      </c>
      <c r="Q1245" s="17">
        <v>144080.2998443429</v>
      </c>
      <c r="R1245" s="17">
        <v>100132.8</v>
      </c>
      <c r="S1245" s="17">
        <v>43947.499844342863</v>
      </c>
      <c r="T1245" s="17">
        <v>5510.4000000000005</v>
      </c>
    </row>
    <row r="1246" spans="1:20" x14ac:dyDescent="0.3">
      <c r="A1246" s="13">
        <v>46053</v>
      </c>
      <c r="B1246" s="7" t="s">
        <v>138</v>
      </c>
      <c r="C1246" s="7" t="s">
        <v>29</v>
      </c>
      <c r="D1246" s="7" t="s">
        <v>102</v>
      </c>
      <c r="E1246" s="7" t="s">
        <v>30</v>
      </c>
      <c r="F1246" s="14">
        <v>1101</v>
      </c>
      <c r="G1246" s="15">
        <v>107.21</v>
      </c>
      <c r="H1246" s="16">
        <v>4.1148704295744118E-2</v>
      </c>
      <c r="I1246" s="16">
        <v>2.3310843769737501E-2</v>
      </c>
      <c r="J1246" s="15">
        <v>70.12</v>
      </c>
      <c r="K1246" s="14">
        <v>88</v>
      </c>
      <c r="L1246" s="14">
        <v>5</v>
      </c>
      <c r="M1246" s="15">
        <v>6.07</v>
      </c>
      <c r="N1246" s="17">
        <v>118038.21</v>
      </c>
      <c r="O1246" s="17">
        <v>4857.1193988889463</v>
      </c>
      <c r="P1246" s="17">
        <v>2638.346720691005</v>
      </c>
      <c r="Q1246" s="17">
        <v>110542.74388042009</v>
      </c>
      <c r="R1246" s="17">
        <v>77202.12000000001</v>
      </c>
      <c r="S1246" s="17">
        <v>33340.62388042004</v>
      </c>
      <c r="T1246" s="17">
        <v>30.35</v>
      </c>
    </row>
    <row r="1247" spans="1:20" x14ac:dyDescent="0.3">
      <c r="A1247" s="13">
        <v>46053</v>
      </c>
      <c r="B1247" s="7" t="s">
        <v>138</v>
      </c>
      <c r="C1247" s="7" t="s">
        <v>29</v>
      </c>
      <c r="D1247" s="7" t="s">
        <v>103</v>
      </c>
      <c r="E1247" s="7" t="s">
        <v>25</v>
      </c>
      <c r="F1247" s="14">
        <v>2395</v>
      </c>
      <c r="G1247" s="15">
        <v>234.28</v>
      </c>
      <c r="H1247" s="16">
        <v>6.5799496081843642E-2</v>
      </c>
      <c r="I1247" s="16">
        <v>3.3215052695127777E-2</v>
      </c>
      <c r="J1247" s="15">
        <v>124.71</v>
      </c>
      <c r="K1247" s="14">
        <v>1520</v>
      </c>
      <c r="L1247" s="14">
        <v>553</v>
      </c>
      <c r="M1247" s="15">
        <v>28.56</v>
      </c>
      <c r="N1247" s="17">
        <v>561100.6</v>
      </c>
      <c r="O1247" s="17">
        <v>36920.136731220118</v>
      </c>
      <c r="P1247" s="17">
        <v>17410.681709229011</v>
      </c>
      <c r="Q1247" s="17">
        <v>506769.78155955079</v>
      </c>
      <c r="R1247" s="17">
        <v>298680.45</v>
      </c>
      <c r="S1247" s="17">
        <v>208089.3315595508</v>
      </c>
      <c r="T1247" s="17">
        <v>15793.68</v>
      </c>
    </row>
    <row r="1248" spans="1:20" x14ac:dyDescent="0.3">
      <c r="A1248" s="13">
        <v>46053</v>
      </c>
      <c r="B1248" s="7" t="s">
        <v>138</v>
      </c>
      <c r="C1248" s="7" t="s">
        <v>29</v>
      </c>
      <c r="D1248" s="7" t="s">
        <v>103</v>
      </c>
      <c r="E1248" s="7" t="s">
        <v>28</v>
      </c>
      <c r="F1248" s="14">
        <v>879</v>
      </c>
      <c r="G1248" s="15">
        <v>222.97</v>
      </c>
      <c r="H1248" s="16">
        <v>7.9447427023317016E-2</v>
      </c>
      <c r="I1248" s="16">
        <v>4.7285591812546733E-2</v>
      </c>
      <c r="J1248" s="15">
        <v>128.96</v>
      </c>
      <c r="K1248" s="14">
        <v>768</v>
      </c>
      <c r="L1248" s="14">
        <v>220</v>
      </c>
      <c r="M1248" s="15">
        <v>20.99</v>
      </c>
      <c r="N1248" s="17">
        <v>195990.63</v>
      </c>
      <c r="O1248" s="17">
        <v>15570.951274178929</v>
      </c>
      <c r="P1248" s="17">
        <v>8531.2512831799977</v>
      </c>
      <c r="Q1248" s="17">
        <v>171888.42744264111</v>
      </c>
      <c r="R1248" s="17">
        <v>113355.84</v>
      </c>
      <c r="S1248" s="17">
        <v>58532.587442641066</v>
      </c>
      <c r="T1248" s="17">
        <v>4617.7999999999993</v>
      </c>
    </row>
    <row r="1249" spans="1:20" x14ac:dyDescent="0.3">
      <c r="A1249" s="13">
        <v>46053</v>
      </c>
      <c r="B1249" s="7" t="s">
        <v>138</v>
      </c>
      <c r="C1249" s="7" t="s">
        <v>29</v>
      </c>
      <c r="D1249" s="7" t="s">
        <v>103</v>
      </c>
      <c r="E1249" s="7" t="s">
        <v>30</v>
      </c>
      <c r="F1249" s="14">
        <v>803</v>
      </c>
      <c r="G1249" s="15">
        <v>193.66</v>
      </c>
      <c r="H1249" s="16">
        <v>4.0249251043383373E-2</v>
      </c>
      <c r="I1249" s="16">
        <v>1.4631535769012679E-2</v>
      </c>
      <c r="J1249" s="15">
        <v>127.6</v>
      </c>
      <c r="K1249" s="14">
        <v>63</v>
      </c>
      <c r="L1249" s="14">
        <v>4</v>
      </c>
      <c r="M1249" s="15">
        <v>4.3600000000000003</v>
      </c>
      <c r="N1249" s="17">
        <v>155508.98000000001</v>
      </c>
      <c r="O1249" s="17">
        <v>6259.1199755204834</v>
      </c>
      <c r="P1249" s="17">
        <v>2183.7546654683078</v>
      </c>
      <c r="Q1249" s="17">
        <v>147066.10535901121</v>
      </c>
      <c r="R1249" s="17">
        <v>102462.8</v>
      </c>
      <c r="S1249" s="17">
        <v>44603.305359011247</v>
      </c>
      <c r="T1249" s="17">
        <v>17.440000000000001</v>
      </c>
    </row>
    <row r="1250" spans="1:20" x14ac:dyDescent="0.3">
      <c r="A1250" s="13">
        <v>46053</v>
      </c>
      <c r="B1250" s="7" t="s">
        <v>138</v>
      </c>
      <c r="C1250" s="7" t="s">
        <v>29</v>
      </c>
      <c r="D1250" s="7" t="s">
        <v>104</v>
      </c>
      <c r="E1250" s="7" t="s">
        <v>25</v>
      </c>
      <c r="F1250" s="14">
        <v>2094</v>
      </c>
      <c r="G1250" s="15">
        <v>48.94</v>
      </c>
      <c r="H1250" s="16">
        <v>6.0583122151110433E-2</v>
      </c>
      <c r="I1250" s="16">
        <v>4.7654374943750161E-2</v>
      </c>
      <c r="J1250" s="15">
        <v>24.1</v>
      </c>
      <c r="K1250" s="14">
        <v>1533</v>
      </c>
      <c r="L1250" s="14">
        <v>604</v>
      </c>
      <c r="M1250" s="15">
        <v>33.409999999999997</v>
      </c>
      <c r="N1250" s="17">
        <v>102480.36</v>
      </c>
      <c r="O1250" s="17">
        <v>6208.5801679697724</v>
      </c>
      <c r="P1250" s="17">
        <v>4587.7714926177332</v>
      </c>
      <c r="Q1250" s="17">
        <v>91684.008339412496</v>
      </c>
      <c r="R1250" s="17">
        <v>50465.4</v>
      </c>
      <c r="S1250" s="17">
        <v>41218.608339412487</v>
      </c>
      <c r="T1250" s="17">
        <v>20179.64</v>
      </c>
    </row>
    <row r="1251" spans="1:20" x14ac:dyDescent="0.3">
      <c r="A1251" s="13">
        <v>46053</v>
      </c>
      <c r="B1251" s="7" t="s">
        <v>138</v>
      </c>
      <c r="C1251" s="7" t="s">
        <v>29</v>
      </c>
      <c r="D1251" s="7" t="s">
        <v>104</v>
      </c>
      <c r="E1251" s="7" t="s">
        <v>28</v>
      </c>
      <c r="F1251" s="14">
        <v>658</v>
      </c>
      <c r="G1251" s="15">
        <v>45.41</v>
      </c>
      <c r="H1251" s="16">
        <v>0.102766051272163</v>
      </c>
      <c r="I1251" s="16">
        <v>6.7565475985776155E-2</v>
      </c>
      <c r="J1251" s="15">
        <v>22.7</v>
      </c>
      <c r="K1251" s="14">
        <v>511</v>
      </c>
      <c r="L1251" s="14">
        <v>153</v>
      </c>
      <c r="M1251" s="15">
        <v>11.6</v>
      </c>
      <c r="N1251" s="17">
        <v>29879.78</v>
      </c>
      <c r="O1251" s="17">
        <v>3070.62700348095</v>
      </c>
      <c r="P1251" s="17">
        <v>1811.373182985307</v>
      </c>
      <c r="Q1251" s="17">
        <v>24997.77981353374</v>
      </c>
      <c r="R1251" s="17">
        <v>14936.6</v>
      </c>
      <c r="S1251" s="17">
        <v>10061.179813533739</v>
      </c>
      <c r="T1251" s="17">
        <v>1774.8</v>
      </c>
    </row>
    <row r="1252" spans="1:20" x14ac:dyDescent="0.3">
      <c r="A1252" s="13">
        <v>46053</v>
      </c>
      <c r="B1252" s="7" t="s">
        <v>138</v>
      </c>
      <c r="C1252" s="7" t="s">
        <v>29</v>
      </c>
      <c r="D1252" s="7" t="s">
        <v>104</v>
      </c>
      <c r="E1252" s="7" t="s">
        <v>30</v>
      </c>
      <c r="F1252" s="14">
        <v>504</v>
      </c>
      <c r="G1252" s="15">
        <v>39.409999999999997</v>
      </c>
      <c r="H1252" s="16">
        <v>5.1914058466089028E-2</v>
      </c>
      <c r="I1252" s="16">
        <v>2.0617646009205459E-2</v>
      </c>
      <c r="J1252" s="15">
        <v>22.93</v>
      </c>
      <c r="K1252" s="14">
        <v>41</v>
      </c>
      <c r="L1252" s="14">
        <v>2</v>
      </c>
      <c r="M1252" s="15">
        <v>4.7699999999999996</v>
      </c>
      <c r="N1252" s="17">
        <v>19862.64</v>
      </c>
      <c r="O1252" s="17">
        <v>1031.150254250879</v>
      </c>
      <c r="P1252" s="17">
        <v>388.26098940383793</v>
      </c>
      <c r="Q1252" s="17">
        <v>18443.228756345281</v>
      </c>
      <c r="R1252" s="17">
        <v>11556.72</v>
      </c>
      <c r="S1252" s="17">
        <v>6886.5087563452817</v>
      </c>
      <c r="T1252" s="17">
        <v>9.5399999999999991</v>
      </c>
    </row>
    <row r="1253" spans="1:20" x14ac:dyDescent="0.3">
      <c r="A1253" s="13">
        <v>46053</v>
      </c>
      <c r="B1253" s="7" t="s">
        <v>138</v>
      </c>
      <c r="C1253" s="7" t="s">
        <v>31</v>
      </c>
      <c r="D1253" s="7" t="s">
        <v>102</v>
      </c>
      <c r="E1253" s="7" t="s">
        <v>25</v>
      </c>
      <c r="F1253" s="14">
        <v>1938</v>
      </c>
      <c r="G1253" s="15">
        <v>118.24</v>
      </c>
      <c r="H1253" s="16">
        <v>6.1887174572170398E-2</v>
      </c>
      <c r="I1253" s="16">
        <v>4.4575419340047807E-2</v>
      </c>
      <c r="J1253" s="15">
        <v>72.099999999999994</v>
      </c>
      <c r="K1253" s="14">
        <v>1292</v>
      </c>
      <c r="L1253" s="14">
        <v>495</v>
      </c>
      <c r="M1253" s="15">
        <v>21.79</v>
      </c>
      <c r="N1253" s="17">
        <v>229149.12</v>
      </c>
      <c r="O1253" s="17">
        <v>14181.39159249922</v>
      </c>
      <c r="P1253" s="17">
        <v>9582.2766383418566</v>
      </c>
      <c r="Q1253" s="17">
        <v>205385.45176915891</v>
      </c>
      <c r="R1253" s="17">
        <v>139729.79999999999</v>
      </c>
      <c r="S1253" s="17">
        <v>65655.651769158925</v>
      </c>
      <c r="T1253" s="17">
        <v>10786.05</v>
      </c>
    </row>
    <row r="1254" spans="1:20" x14ac:dyDescent="0.3">
      <c r="A1254" s="13">
        <v>46053</v>
      </c>
      <c r="B1254" s="7" t="s">
        <v>138</v>
      </c>
      <c r="C1254" s="7" t="s">
        <v>31</v>
      </c>
      <c r="D1254" s="7" t="s">
        <v>102</v>
      </c>
      <c r="E1254" s="7" t="s">
        <v>28</v>
      </c>
      <c r="F1254" s="14">
        <v>966</v>
      </c>
      <c r="G1254" s="15">
        <v>106.87</v>
      </c>
      <c r="H1254" s="16">
        <v>9.5852811741379135E-2</v>
      </c>
      <c r="I1254" s="16">
        <v>5.6661376091627198E-2</v>
      </c>
      <c r="J1254" s="15">
        <v>67.58</v>
      </c>
      <c r="K1254" s="14">
        <v>783</v>
      </c>
      <c r="L1254" s="14">
        <v>219</v>
      </c>
      <c r="M1254" s="15">
        <v>19.55</v>
      </c>
      <c r="N1254" s="17">
        <v>103236.42</v>
      </c>
      <c r="O1254" s="17">
        <v>9895.5011311139478</v>
      </c>
      <c r="P1254" s="17">
        <v>5288.8249087680142</v>
      </c>
      <c r="Q1254" s="17">
        <v>88052.093960118029</v>
      </c>
      <c r="R1254" s="17">
        <v>65282.28</v>
      </c>
      <c r="S1254" s="17">
        <v>22769.81396011803</v>
      </c>
      <c r="T1254" s="17">
        <v>4281.45</v>
      </c>
    </row>
    <row r="1255" spans="1:20" x14ac:dyDescent="0.3">
      <c r="A1255" s="13">
        <v>46053</v>
      </c>
      <c r="B1255" s="7" t="s">
        <v>138</v>
      </c>
      <c r="C1255" s="7" t="s">
        <v>31</v>
      </c>
      <c r="D1255" s="7" t="s">
        <v>102</v>
      </c>
      <c r="E1255" s="7" t="s">
        <v>30</v>
      </c>
      <c r="F1255" s="14">
        <v>532</v>
      </c>
      <c r="G1255" s="15">
        <v>98</v>
      </c>
      <c r="H1255" s="16">
        <v>5.0690108718801113E-2</v>
      </c>
      <c r="I1255" s="16">
        <v>1.317661837049729E-2</v>
      </c>
      <c r="J1255" s="15">
        <v>71.06</v>
      </c>
      <c r="K1255" s="14">
        <v>45</v>
      </c>
      <c r="L1255" s="14">
        <v>3</v>
      </c>
      <c r="M1255" s="15">
        <v>4.75</v>
      </c>
      <c r="N1255" s="17">
        <v>52136</v>
      </c>
      <c r="O1255" s="17">
        <v>2642.779508163414</v>
      </c>
      <c r="P1255" s="17">
        <v>652.15327834780703</v>
      </c>
      <c r="Q1255" s="17">
        <v>48841.067213488772</v>
      </c>
      <c r="R1255" s="17">
        <v>37803.919999999998</v>
      </c>
      <c r="S1255" s="17">
        <v>11037.14721348877</v>
      </c>
      <c r="T1255" s="17">
        <v>14.25</v>
      </c>
    </row>
    <row r="1256" spans="1:20" x14ac:dyDescent="0.3">
      <c r="A1256" s="13">
        <v>46053</v>
      </c>
      <c r="B1256" s="7" t="s">
        <v>138</v>
      </c>
      <c r="C1256" s="7" t="s">
        <v>31</v>
      </c>
      <c r="D1256" s="7" t="s">
        <v>103</v>
      </c>
      <c r="E1256" s="7" t="s">
        <v>25</v>
      </c>
      <c r="F1256" s="14">
        <v>931</v>
      </c>
      <c r="G1256" s="15">
        <v>211.99</v>
      </c>
      <c r="H1256" s="16">
        <v>4.9951942303343572E-2</v>
      </c>
      <c r="I1256" s="16">
        <v>4.9878615824065102E-2</v>
      </c>
      <c r="J1256" s="15">
        <v>123.69</v>
      </c>
      <c r="K1256" s="14">
        <v>648</v>
      </c>
      <c r="L1256" s="14">
        <v>241</v>
      </c>
      <c r="M1256" s="15">
        <v>37.29</v>
      </c>
      <c r="N1256" s="17">
        <v>197362.69</v>
      </c>
      <c r="O1256" s="17">
        <v>9858.6497037126828</v>
      </c>
      <c r="P1256" s="17">
        <v>9352.4419913985366</v>
      </c>
      <c r="Q1256" s="17">
        <v>178151.59830488879</v>
      </c>
      <c r="R1256" s="17">
        <v>115155.39</v>
      </c>
      <c r="S1256" s="17">
        <v>62996.208304888787</v>
      </c>
      <c r="T1256" s="17">
        <v>8986.89</v>
      </c>
    </row>
    <row r="1257" spans="1:20" x14ac:dyDescent="0.3">
      <c r="A1257" s="13">
        <v>46053</v>
      </c>
      <c r="B1257" s="7" t="s">
        <v>138</v>
      </c>
      <c r="C1257" s="7" t="s">
        <v>31</v>
      </c>
      <c r="D1257" s="7" t="s">
        <v>103</v>
      </c>
      <c r="E1257" s="7" t="s">
        <v>28</v>
      </c>
      <c r="F1257" s="14">
        <v>370</v>
      </c>
      <c r="G1257" s="15">
        <v>203.3</v>
      </c>
      <c r="H1257" s="16">
        <v>7.5962791468868834E-2</v>
      </c>
      <c r="I1257" s="16">
        <v>8.7729946034498241E-2</v>
      </c>
      <c r="J1257" s="15">
        <v>117.23</v>
      </c>
      <c r="K1257" s="14">
        <v>300</v>
      </c>
      <c r="L1257" s="14">
        <v>84</v>
      </c>
      <c r="M1257" s="15">
        <v>18.89</v>
      </c>
      <c r="N1257" s="17">
        <v>75221</v>
      </c>
      <c r="O1257" s="17">
        <v>5713.997137079783</v>
      </c>
      <c r="P1257" s="17">
        <v>6097.8456101837046</v>
      </c>
      <c r="Q1257" s="17">
        <v>63409.157252736513</v>
      </c>
      <c r="R1257" s="17">
        <v>43375.1</v>
      </c>
      <c r="S1257" s="17">
        <v>20034.057252736511</v>
      </c>
      <c r="T1257" s="17">
        <v>1586.76</v>
      </c>
    </row>
    <row r="1258" spans="1:20" x14ac:dyDescent="0.3">
      <c r="A1258" s="13">
        <v>46053</v>
      </c>
      <c r="B1258" s="7" t="s">
        <v>138</v>
      </c>
      <c r="C1258" s="7" t="s">
        <v>31</v>
      </c>
      <c r="D1258" s="7" t="s">
        <v>103</v>
      </c>
      <c r="E1258" s="7" t="s">
        <v>30</v>
      </c>
      <c r="F1258" s="14">
        <v>415</v>
      </c>
      <c r="G1258" s="15">
        <v>171.52</v>
      </c>
      <c r="H1258" s="16">
        <v>3.170938486859378E-2</v>
      </c>
      <c r="I1258" s="16">
        <v>2.385025054458793E-2</v>
      </c>
      <c r="J1258" s="15">
        <v>127.53</v>
      </c>
      <c r="K1258" s="14">
        <v>35</v>
      </c>
      <c r="L1258" s="14">
        <v>2</v>
      </c>
      <c r="M1258" s="15">
        <v>4.6100000000000003</v>
      </c>
      <c r="N1258" s="17">
        <v>71180.800000000003</v>
      </c>
      <c r="O1258" s="17">
        <v>2257.0993824543998</v>
      </c>
      <c r="P1258" s="17">
        <v>1643.8475281886319</v>
      </c>
      <c r="Q1258" s="17">
        <v>67279.85308935697</v>
      </c>
      <c r="R1258" s="17">
        <v>52924.95</v>
      </c>
      <c r="S1258" s="17">
        <v>14354.903089356971</v>
      </c>
      <c r="T1258" s="17">
        <v>9.2200000000000006</v>
      </c>
    </row>
    <row r="1259" spans="1:20" x14ac:dyDescent="0.3">
      <c r="A1259" s="13">
        <v>46053</v>
      </c>
      <c r="B1259" s="7" t="s">
        <v>138</v>
      </c>
      <c r="C1259" s="7" t="s">
        <v>31</v>
      </c>
      <c r="D1259" s="7" t="s">
        <v>104</v>
      </c>
      <c r="E1259" s="7" t="s">
        <v>25</v>
      </c>
      <c r="F1259" s="14">
        <v>561</v>
      </c>
      <c r="G1259" s="15">
        <v>43.72</v>
      </c>
      <c r="H1259" s="16">
        <v>7.4392109167530598E-2</v>
      </c>
      <c r="I1259" s="16">
        <v>4.673133692232969E-2</v>
      </c>
      <c r="J1259" s="15">
        <v>22.57</v>
      </c>
      <c r="K1259" s="14">
        <v>349</v>
      </c>
      <c r="L1259" s="14">
        <v>125</v>
      </c>
      <c r="M1259" s="15">
        <v>29.7</v>
      </c>
      <c r="N1259" s="17">
        <v>24526.92</v>
      </c>
      <c r="O1259" s="17">
        <v>1824.6093101832889</v>
      </c>
      <c r="P1259" s="17">
        <v>1060.9093297612319</v>
      </c>
      <c r="Q1259" s="17">
        <v>21641.401360055479</v>
      </c>
      <c r="R1259" s="17">
        <v>12661.77</v>
      </c>
      <c r="S1259" s="17">
        <v>8979.6313600554786</v>
      </c>
      <c r="T1259" s="17">
        <v>3712.5</v>
      </c>
    </row>
    <row r="1260" spans="1:20" x14ac:dyDescent="0.3">
      <c r="A1260" s="13">
        <v>46053</v>
      </c>
      <c r="B1260" s="7" t="s">
        <v>138</v>
      </c>
      <c r="C1260" s="7" t="s">
        <v>31</v>
      </c>
      <c r="D1260" s="7" t="s">
        <v>104</v>
      </c>
      <c r="E1260" s="7" t="s">
        <v>28</v>
      </c>
      <c r="F1260" s="14">
        <v>282</v>
      </c>
      <c r="G1260" s="15">
        <v>39.049999999999997</v>
      </c>
      <c r="H1260" s="16">
        <v>8.0907214753387219E-2</v>
      </c>
      <c r="I1260" s="16">
        <v>4.7126759523425599E-2</v>
      </c>
      <c r="J1260" s="15">
        <v>22</v>
      </c>
      <c r="K1260" s="14">
        <v>248</v>
      </c>
      <c r="L1260" s="14">
        <v>75</v>
      </c>
      <c r="M1260" s="15">
        <v>19.82</v>
      </c>
      <c r="N1260" s="17">
        <v>11012.1</v>
      </c>
      <c r="O1260" s="17">
        <v>890.95833958577532</v>
      </c>
      <c r="P1260" s="17">
        <v>476.97660913286558</v>
      </c>
      <c r="Q1260" s="17">
        <v>9644.1650512813576</v>
      </c>
      <c r="R1260" s="17">
        <v>6204</v>
      </c>
      <c r="S1260" s="17">
        <v>3440.165051281358</v>
      </c>
      <c r="T1260" s="17">
        <v>1486.5</v>
      </c>
    </row>
    <row r="1261" spans="1:20" x14ac:dyDescent="0.3">
      <c r="A1261" s="13">
        <v>46053</v>
      </c>
      <c r="B1261" s="7" t="s">
        <v>138</v>
      </c>
      <c r="C1261" s="7" t="s">
        <v>31</v>
      </c>
      <c r="D1261" s="7" t="s">
        <v>104</v>
      </c>
      <c r="E1261" s="7" t="s">
        <v>30</v>
      </c>
      <c r="F1261" s="14">
        <v>246</v>
      </c>
      <c r="G1261" s="15">
        <v>35.33</v>
      </c>
      <c r="H1261" s="16">
        <v>5.1185197155324103E-2</v>
      </c>
      <c r="I1261" s="16">
        <v>1.6643462043144569E-2</v>
      </c>
      <c r="J1261" s="15">
        <v>22.43</v>
      </c>
      <c r="K1261" s="14">
        <v>20</v>
      </c>
      <c r="L1261" s="14">
        <v>1</v>
      </c>
      <c r="M1261" s="15">
        <v>4.75</v>
      </c>
      <c r="N1261" s="17">
        <v>8691.18</v>
      </c>
      <c r="O1261" s="17">
        <v>444.85976181240972</v>
      </c>
      <c r="P1261" s="17">
        <v>137.24731787989009</v>
      </c>
      <c r="Q1261" s="17">
        <v>8109.0729203077008</v>
      </c>
      <c r="R1261" s="17">
        <v>5517.78</v>
      </c>
      <c r="S1261" s="17">
        <v>2591.292920307701</v>
      </c>
      <c r="T1261" s="17">
        <v>4.75</v>
      </c>
    </row>
    <row r="1262" spans="1:20" x14ac:dyDescent="0.3">
      <c r="A1262" s="13">
        <v>46081</v>
      </c>
      <c r="B1262" s="7" t="s">
        <v>139</v>
      </c>
      <c r="C1262" s="7" t="s">
        <v>24</v>
      </c>
      <c r="D1262" s="7" t="s">
        <v>102</v>
      </c>
      <c r="E1262" s="7" t="s">
        <v>25</v>
      </c>
      <c r="F1262" s="14">
        <v>9158</v>
      </c>
      <c r="G1262" s="15">
        <v>129.52000000000001</v>
      </c>
      <c r="H1262" s="16">
        <v>8.2528546118151386E-2</v>
      </c>
      <c r="I1262" s="16">
        <v>3.516015660399447E-2</v>
      </c>
      <c r="J1262" s="15">
        <v>76.650000000000006</v>
      </c>
      <c r="K1262" s="14">
        <v>6425</v>
      </c>
      <c r="L1262" s="14">
        <v>2331</v>
      </c>
      <c r="M1262" s="15">
        <v>22.74</v>
      </c>
      <c r="N1262" s="17">
        <v>1186144.1599999999</v>
      </c>
      <c r="O1262" s="17">
        <v>97890.753011335953</v>
      </c>
      <c r="P1262" s="17">
        <v>38263.160214551957</v>
      </c>
      <c r="Q1262" s="17">
        <v>1049990.2467741121</v>
      </c>
      <c r="R1262" s="17">
        <v>701960.70000000007</v>
      </c>
      <c r="S1262" s="17">
        <v>348029.54677411233</v>
      </c>
      <c r="T1262" s="17">
        <v>53006.94</v>
      </c>
    </row>
    <row r="1263" spans="1:20" x14ac:dyDescent="0.3">
      <c r="A1263" s="13">
        <v>46081</v>
      </c>
      <c r="B1263" s="7" t="s">
        <v>139</v>
      </c>
      <c r="C1263" s="7" t="s">
        <v>24</v>
      </c>
      <c r="D1263" s="7" t="s">
        <v>102</v>
      </c>
      <c r="E1263" s="7" t="s">
        <v>28</v>
      </c>
      <c r="F1263" s="14">
        <v>3654</v>
      </c>
      <c r="G1263" s="15">
        <v>116.74</v>
      </c>
      <c r="H1263" s="16">
        <v>9.2242898276557447E-2</v>
      </c>
      <c r="I1263" s="16">
        <v>4.2753878169481598E-2</v>
      </c>
      <c r="J1263" s="15">
        <v>75.8</v>
      </c>
      <c r="K1263" s="14">
        <v>3030</v>
      </c>
      <c r="L1263" s="14">
        <v>935</v>
      </c>
      <c r="M1263" s="15">
        <v>14.64</v>
      </c>
      <c r="N1263" s="17">
        <v>426567.96</v>
      </c>
      <c r="O1263" s="17">
        <v>39347.864942318622</v>
      </c>
      <c r="P1263" s="17">
        <v>16555.160768871188</v>
      </c>
      <c r="Q1263" s="17">
        <v>370664.93428881012</v>
      </c>
      <c r="R1263" s="17">
        <v>276973.2</v>
      </c>
      <c r="S1263" s="17">
        <v>93691.734288810112</v>
      </c>
      <c r="T1263" s="17">
        <v>13688.4</v>
      </c>
    </row>
    <row r="1264" spans="1:20" x14ac:dyDescent="0.3">
      <c r="A1264" s="13">
        <v>46081</v>
      </c>
      <c r="B1264" s="7" t="s">
        <v>139</v>
      </c>
      <c r="C1264" s="7" t="s">
        <v>24</v>
      </c>
      <c r="D1264" s="7" t="s">
        <v>102</v>
      </c>
      <c r="E1264" s="7" t="s">
        <v>30</v>
      </c>
      <c r="F1264" s="14">
        <v>2635</v>
      </c>
      <c r="G1264" s="15">
        <v>107.98</v>
      </c>
      <c r="H1264" s="16">
        <v>3.2839745388740113E-2</v>
      </c>
      <c r="I1264" s="16">
        <v>1.083414774150636E-2</v>
      </c>
      <c r="J1264" s="15">
        <v>77.36</v>
      </c>
      <c r="K1264" s="14">
        <v>217</v>
      </c>
      <c r="L1264" s="14">
        <v>12</v>
      </c>
      <c r="M1264" s="15">
        <v>3.83</v>
      </c>
      <c r="N1264" s="17">
        <v>284527.3</v>
      </c>
      <c r="O1264" s="17">
        <v>9343.8040881456745</v>
      </c>
      <c r="P1264" s="17">
        <v>2981.378650733242</v>
      </c>
      <c r="Q1264" s="17">
        <v>272202.11726112099</v>
      </c>
      <c r="R1264" s="17">
        <v>203843.6</v>
      </c>
      <c r="S1264" s="17">
        <v>68358.517261121044</v>
      </c>
      <c r="T1264" s="17">
        <v>45.96</v>
      </c>
    </row>
    <row r="1265" spans="1:20" x14ac:dyDescent="0.3">
      <c r="A1265" s="13">
        <v>46081</v>
      </c>
      <c r="B1265" s="7" t="s">
        <v>139</v>
      </c>
      <c r="C1265" s="7" t="s">
        <v>24</v>
      </c>
      <c r="D1265" s="7" t="s">
        <v>103</v>
      </c>
      <c r="E1265" s="7" t="s">
        <v>25</v>
      </c>
      <c r="F1265" s="14">
        <v>3721</v>
      </c>
      <c r="G1265" s="15">
        <v>239.28</v>
      </c>
      <c r="H1265" s="16">
        <v>6.2036142798006802E-2</v>
      </c>
      <c r="I1265" s="16">
        <v>5.1179338227271519E-2</v>
      </c>
      <c r="J1265" s="15">
        <v>124.18</v>
      </c>
      <c r="K1265" s="14">
        <v>2643</v>
      </c>
      <c r="L1265" s="14">
        <v>967</v>
      </c>
      <c r="M1265" s="15">
        <v>31.14</v>
      </c>
      <c r="N1265" s="17">
        <v>890360.88</v>
      </c>
      <c r="O1265" s="17">
        <v>55234.554693438993</v>
      </c>
      <c r="P1265" s="17">
        <v>42741.212665362873</v>
      </c>
      <c r="Q1265" s="17">
        <v>792385.11264119809</v>
      </c>
      <c r="R1265" s="17">
        <v>462073.78</v>
      </c>
      <c r="S1265" s="17">
        <v>330311.33264119813</v>
      </c>
      <c r="T1265" s="17">
        <v>30112.38</v>
      </c>
    </row>
    <row r="1266" spans="1:20" x14ac:dyDescent="0.3">
      <c r="A1266" s="13">
        <v>46081</v>
      </c>
      <c r="B1266" s="7" t="s">
        <v>139</v>
      </c>
      <c r="C1266" s="7" t="s">
        <v>24</v>
      </c>
      <c r="D1266" s="7" t="s">
        <v>103</v>
      </c>
      <c r="E1266" s="7" t="s">
        <v>28</v>
      </c>
      <c r="F1266" s="14">
        <v>1279</v>
      </c>
      <c r="G1266" s="15">
        <v>224.75</v>
      </c>
      <c r="H1266" s="16">
        <v>8.3830610243359374E-2</v>
      </c>
      <c r="I1266" s="16">
        <v>3.8876598475388248E-2</v>
      </c>
      <c r="J1266" s="15">
        <v>128.99</v>
      </c>
      <c r="K1266" s="14">
        <v>1049</v>
      </c>
      <c r="L1266" s="14">
        <v>315</v>
      </c>
      <c r="M1266" s="15">
        <v>21.42</v>
      </c>
      <c r="N1266" s="17">
        <v>287455.25</v>
      </c>
      <c r="O1266" s="17">
        <v>24097.54902515743</v>
      </c>
      <c r="P1266" s="17">
        <v>10238.451596200321</v>
      </c>
      <c r="Q1266" s="17">
        <v>253119.2493786423</v>
      </c>
      <c r="R1266" s="17">
        <v>164978.21</v>
      </c>
      <c r="S1266" s="17">
        <v>88141.03937864225</v>
      </c>
      <c r="T1266" s="17">
        <v>6747.3</v>
      </c>
    </row>
    <row r="1267" spans="1:20" x14ac:dyDescent="0.3">
      <c r="A1267" s="13">
        <v>46081</v>
      </c>
      <c r="B1267" s="7" t="s">
        <v>139</v>
      </c>
      <c r="C1267" s="7" t="s">
        <v>24</v>
      </c>
      <c r="D1267" s="7" t="s">
        <v>103</v>
      </c>
      <c r="E1267" s="7" t="s">
        <v>30</v>
      </c>
      <c r="F1267" s="14">
        <v>1147</v>
      </c>
      <c r="G1267" s="15">
        <v>206.41</v>
      </c>
      <c r="H1267" s="16">
        <v>3.1040861126746411E-2</v>
      </c>
      <c r="I1267" s="16">
        <v>1.915607631292025E-2</v>
      </c>
      <c r="J1267" s="15">
        <v>129.79</v>
      </c>
      <c r="K1267" s="14">
        <v>93</v>
      </c>
      <c r="L1267" s="14">
        <v>6</v>
      </c>
      <c r="M1267" s="15">
        <v>4.91</v>
      </c>
      <c r="N1267" s="17">
        <v>236752.27</v>
      </c>
      <c r="O1267" s="17">
        <v>7348.9943345119709</v>
      </c>
      <c r="P1267" s="17">
        <v>4394.4666550819702</v>
      </c>
      <c r="Q1267" s="17">
        <v>225008.809010406</v>
      </c>
      <c r="R1267" s="17">
        <v>148869.13</v>
      </c>
      <c r="S1267" s="17">
        <v>76139.67901040602</v>
      </c>
      <c r="T1267" s="17">
        <v>29.46</v>
      </c>
    </row>
    <row r="1268" spans="1:20" x14ac:dyDescent="0.3">
      <c r="A1268" s="13">
        <v>46081</v>
      </c>
      <c r="B1268" s="7" t="s">
        <v>139</v>
      </c>
      <c r="C1268" s="7" t="s">
        <v>24</v>
      </c>
      <c r="D1268" s="7" t="s">
        <v>104</v>
      </c>
      <c r="E1268" s="7" t="s">
        <v>25</v>
      </c>
      <c r="F1268" s="14">
        <v>1968</v>
      </c>
      <c r="G1268" s="15">
        <v>50.12</v>
      </c>
      <c r="H1268" s="16">
        <v>5.0720045520351628E-2</v>
      </c>
      <c r="I1268" s="16">
        <v>3.4868727536357169E-2</v>
      </c>
      <c r="J1268" s="15">
        <v>24.85</v>
      </c>
      <c r="K1268" s="14">
        <v>1384</v>
      </c>
      <c r="L1268" s="14">
        <v>574</v>
      </c>
      <c r="M1268" s="15">
        <v>37.24</v>
      </c>
      <c r="N1268" s="17">
        <v>98636.159999999989</v>
      </c>
      <c r="O1268" s="17">
        <v>5002.8305251526863</v>
      </c>
      <c r="P1268" s="17">
        <v>3264.8750537804108</v>
      </c>
      <c r="Q1268" s="17">
        <v>90368.454421066883</v>
      </c>
      <c r="R1268" s="17">
        <v>48904.800000000003</v>
      </c>
      <c r="S1268" s="17">
        <v>41463.65442106688</v>
      </c>
      <c r="T1268" s="17">
        <v>21375.759999999998</v>
      </c>
    </row>
    <row r="1269" spans="1:20" x14ac:dyDescent="0.3">
      <c r="A1269" s="13">
        <v>46081</v>
      </c>
      <c r="B1269" s="7" t="s">
        <v>139</v>
      </c>
      <c r="C1269" s="7" t="s">
        <v>24</v>
      </c>
      <c r="D1269" s="7" t="s">
        <v>104</v>
      </c>
      <c r="E1269" s="7" t="s">
        <v>28</v>
      </c>
      <c r="F1269" s="14">
        <v>1568</v>
      </c>
      <c r="G1269" s="15">
        <v>46.74</v>
      </c>
      <c r="H1269" s="16">
        <v>8.8948043068340032E-2</v>
      </c>
      <c r="I1269" s="16">
        <v>6.8243614740966657E-2</v>
      </c>
      <c r="J1269" s="15">
        <v>24.66</v>
      </c>
      <c r="K1269" s="14">
        <v>1325</v>
      </c>
      <c r="L1269" s="14">
        <v>382</v>
      </c>
      <c r="M1269" s="15">
        <v>21.62</v>
      </c>
      <c r="N1269" s="17">
        <v>73288.320000000007</v>
      </c>
      <c r="O1269" s="17">
        <v>6518.8526437662867</v>
      </c>
      <c r="P1269" s="17">
        <v>4556.5898067183643</v>
      </c>
      <c r="Q1269" s="17">
        <v>62212.87754951536</v>
      </c>
      <c r="R1269" s="17">
        <v>38666.879999999997</v>
      </c>
      <c r="S1269" s="17">
        <v>23545.997549515359</v>
      </c>
      <c r="T1269" s="17">
        <v>8258.84</v>
      </c>
    </row>
    <row r="1270" spans="1:20" x14ac:dyDescent="0.3">
      <c r="A1270" s="13">
        <v>46081</v>
      </c>
      <c r="B1270" s="7" t="s">
        <v>139</v>
      </c>
      <c r="C1270" s="7" t="s">
        <v>24</v>
      </c>
      <c r="D1270" s="7" t="s">
        <v>104</v>
      </c>
      <c r="E1270" s="7" t="s">
        <v>30</v>
      </c>
      <c r="F1270" s="14">
        <v>866</v>
      </c>
      <c r="G1270" s="15">
        <v>41.61</v>
      </c>
      <c r="H1270" s="16">
        <v>3.6224597419675493E-2</v>
      </c>
      <c r="I1270" s="16">
        <v>3.4570546078841809E-2</v>
      </c>
      <c r="J1270" s="15">
        <v>22.69</v>
      </c>
      <c r="K1270" s="14">
        <v>73</v>
      </c>
      <c r="L1270" s="14">
        <v>5</v>
      </c>
      <c r="M1270" s="15">
        <v>4.03</v>
      </c>
      <c r="N1270" s="17">
        <v>36034.26</v>
      </c>
      <c r="O1270" s="17">
        <v>1305.326561815916</v>
      </c>
      <c r="P1270" s="17">
        <v>1200.5981936937731</v>
      </c>
      <c r="Q1270" s="17">
        <v>33528.335244490307</v>
      </c>
      <c r="R1270" s="17">
        <v>19649.54</v>
      </c>
      <c r="S1270" s="17">
        <v>13878.795244490309</v>
      </c>
      <c r="T1270" s="17">
        <v>20.149999999999999</v>
      </c>
    </row>
    <row r="1271" spans="1:20" x14ac:dyDescent="0.3">
      <c r="A1271" s="13">
        <v>46081</v>
      </c>
      <c r="B1271" s="7" t="s">
        <v>139</v>
      </c>
      <c r="C1271" s="7" t="s">
        <v>27</v>
      </c>
      <c r="D1271" s="7" t="s">
        <v>102</v>
      </c>
      <c r="E1271" s="7" t="s">
        <v>25</v>
      </c>
      <c r="F1271" s="14">
        <v>6172</v>
      </c>
      <c r="G1271" s="15">
        <v>142.97</v>
      </c>
      <c r="H1271" s="16">
        <v>6.9695643057141238E-2</v>
      </c>
      <c r="I1271" s="16">
        <v>3.9821378451122658E-2</v>
      </c>
      <c r="J1271" s="15">
        <v>77.290000000000006</v>
      </c>
      <c r="K1271" s="14">
        <v>4617</v>
      </c>
      <c r="L1271" s="14">
        <v>1666</v>
      </c>
      <c r="M1271" s="15">
        <v>35.26</v>
      </c>
      <c r="N1271" s="17">
        <v>882410.84</v>
      </c>
      <c r="O1271" s="17">
        <v>61500.190934392172</v>
      </c>
      <c r="P1271" s="17">
        <v>32689.79363099832</v>
      </c>
      <c r="Q1271" s="17">
        <v>788220.85543460946</v>
      </c>
      <c r="R1271" s="17">
        <v>477033.88000000012</v>
      </c>
      <c r="S1271" s="17">
        <v>311186.9754346094</v>
      </c>
      <c r="T1271" s="17">
        <v>58743.16</v>
      </c>
    </row>
    <row r="1272" spans="1:20" x14ac:dyDescent="0.3">
      <c r="A1272" s="13">
        <v>46081</v>
      </c>
      <c r="B1272" s="7" t="s">
        <v>139</v>
      </c>
      <c r="C1272" s="7" t="s">
        <v>27</v>
      </c>
      <c r="D1272" s="7" t="s">
        <v>102</v>
      </c>
      <c r="E1272" s="7" t="s">
        <v>28</v>
      </c>
      <c r="F1272" s="14">
        <v>2825</v>
      </c>
      <c r="G1272" s="15">
        <v>136.33000000000001</v>
      </c>
      <c r="H1272" s="16">
        <v>9.393839179260717E-2</v>
      </c>
      <c r="I1272" s="16">
        <v>6.3211664734291989E-2</v>
      </c>
      <c r="J1272" s="15">
        <v>79.22</v>
      </c>
      <c r="K1272" s="14">
        <v>2451</v>
      </c>
      <c r="L1272" s="14">
        <v>792</v>
      </c>
      <c r="M1272" s="15">
        <v>18.18</v>
      </c>
      <c r="N1272" s="17">
        <v>385132.25000000012</v>
      </c>
      <c r="O1272" s="17">
        <v>36178.704192468344</v>
      </c>
      <c r="P1272" s="17">
        <v>22057.934545428099</v>
      </c>
      <c r="Q1272" s="17">
        <v>326895.61126210372</v>
      </c>
      <c r="R1272" s="17">
        <v>223796.5</v>
      </c>
      <c r="S1272" s="17">
        <v>103099.1112621037</v>
      </c>
      <c r="T1272" s="17">
        <v>14398.56</v>
      </c>
    </row>
    <row r="1273" spans="1:20" x14ac:dyDescent="0.3">
      <c r="A1273" s="13">
        <v>46081</v>
      </c>
      <c r="B1273" s="7" t="s">
        <v>139</v>
      </c>
      <c r="C1273" s="7" t="s">
        <v>27</v>
      </c>
      <c r="D1273" s="7" t="s">
        <v>102</v>
      </c>
      <c r="E1273" s="7" t="s">
        <v>30</v>
      </c>
      <c r="F1273" s="14">
        <v>2152</v>
      </c>
      <c r="G1273" s="15">
        <v>113.57</v>
      </c>
      <c r="H1273" s="16">
        <v>4.0060126910443417E-2</v>
      </c>
      <c r="I1273" s="16">
        <v>1.655652783277383E-2</v>
      </c>
      <c r="J1273" s="15">
        <v>77.34</v>
      </c>
      <c r="K1273" s="14">
        <v>188</v>
      </c>
      <c r="L1273" s="14">
        <v>12</v>
      </c>
      <c r="M1273" s="15">
        <v>5.36</v>
      </c>
      <c r="N1273" s="17">
        <v>244402.64</v>
      </c>
      <c r="O1273" s="17">
        <v>9790.8007756474144</v>
      </c>
      <c r="P1273" s="17">
        <v>3884.3574460162508</v>
      </c>
      <c r="Q1273" s="17">
        <v>230727.48177833631</v>
      </c>
      <c r="R1273" s="17">
        <v>166435.68</v>
      </c>
      <c r="S1273" s="17">
        <v>64291.801778336318</v>
      </c>
      <c r="T1273" s="17">
        <v>64.320000000000007</v>
      </c>
    </row>
    <row r="1274" spans="1:20" x14ac:dyDescent="0.3">
      <c r="A1274" s="13">
        <v>46081</v>
      </c>
      <c r="B1274" s="7" t="s">
        <v>139</v>
      </c>
      <c r="C1274" s="7" t="s">
        <v>27</v>
      </c>
      <c r="D1274" s="7" t="s">
        <v>103</v>
      </c>
      <c r="E1274" s="7" t="s">
        <v>25</v>
      </c>
      <c r="F1274" s="14">
        <v>3034</v>
      </c>
      <c r="G1274" s="15">
        <v>257.5</v>
      </c>
      <c r="H1274" s="16">
        <v>6.8068497031801498E-2</v>
      </c>
      <c r="I1274" s="16">
        <v>1.259573577965069E-2</v>
      </c>
      <c r="J1274" s="15">
        <v>138.61000000000001</v>
      </c>
      <c r="K1274" s="14">
        <v>2083</v>
      </c>
      <c r="L1274" s="14">
        <v>701</v>
      </c>
      <c r="M1274" s="15">
        <v>35</v>
      </c>
      <c r="N1274" s="17">
        <v>781255</v>
      </c>
      <c r="O1274" s="17">
        <v>53178.85364858008</v>
      </c>
      <c r="P1274" s="17">
        <v>9170.6547669087704</v>
      </c>
      <c r="Q1274" s="17">
        <v>718905.49158451124</v>
      </c>
      <c r="R1274" s="17">
        <v>420542.74</v>
      </c>
      <c r="S1274" s="17">
        <v>298362.75158451119</v>
      </c>
      <c r="T1274" s="17">
        <v>24535</v>
      </c>
    </row>
    <row r="1275" spans="1:20" x14ac:dyDescent="0.3">
      <c r="A1275" s="13">
        <v>46081</v>
      </c>
      <c r="B1275" s="7" t="s">
        <v>139</v>
      </c>
      <c r="C1275" s="7" t="s">
        <v>27</v>
      </c>
      <c r="D1275" s="7" t="s">
        <v>103</v>
      </c>
      <c r="E1275" s="7" t="s">
        <v>28</v>
      </c>
      <c r="F1275" s="14">
        <v>1549</v>
      </c>
      <c r="G1275" s="15">
        <v>250.7</v>
      </c>
      <c r="H1275" s="16">
        <v>0.10720781717451761</v>
      </c>
      <c r="I1275" s="16">
        <v>7.3870827082701318E-2</v>
      </c>
      <c r="J1275" s="15">
        <v>131.18</v>
      </c>
      <c r="K1275" s="14">
        <v>1281</v>
      </c>
      <c r="L1275" s="14">
        <v>337</v>
      </c>
      <c r="M1275" s="15">
        <v>18.28</v>
      </c>
      <c r="N1275" s="17">
        <v>388334.3</v>
      </c>
      <c r="O1275" s="17">
        <v>41632.472636994273</v>
      </c>
      <c r="P1275" s="17">
        <v>25611.150738389159</v>
      </c>
      <c r="Q1275" s="17">
        <v>321090.67662461649</v>
      </c>
      <c r="R1275" s="17">
        <v>203197.82</v>
      </c>
      <c r="S1275" s="17">
        <v>117892.8566246165</v>
      </c>
      <c r="T1275" s="17">
        <v>6160.3600000000006</v>
      </c>
    </row>
    <row r="1276" spans="1:20" x14ac:dyDescent="0.3">
      <c r="A1276" s="13">
        <v>46081</v>
      </c>
      <c r="B1276" s="7" t="s">
        <v>139</v>
      </c>
      <c r="C1276" s="7" t="s">
        <v>27</v>
      </c>
      <c r="D1276" s="7" t="s">
        <v>103</v>
      </c>
      <c r="E1276" s="7" t="s">
        <v>30</v>
      </c>
      <c r="F1276" s="14">
        <v>889</v>
      </c>
      <c r="G1276" s="15">
        <v>209.89</v>
      </c>
      <c r="H1276" s="16">
        <v>3.4637101416510323E-2</v>
      </c>
      <c r="I1276" s="16">
        <v>1.447987183263807E-2</v>
      </c>
      <c r="J1276" s="15">
        <v>127.86</v>
      </c>
      <c r="K1276" s="14">
        <v>72</v>
      </c>
      <c r="L1276" s="14">
        <v>5</v>
      </c>
      <c r="M1276" s="15">
        <v>5.13</v>
      </c>
      <c r="N1276" s="17">
        <v>186592.21</v>
      </c>
      <c r="O1276" s="17">
        <v>6463.0133013007917</v>
      </c>
      <c r="P1276" s="17">
        <v>2608.2476815132168</v>
      </c>
      <c r="Q1276" s="17">
        <v>177520.94901718601</v>
      </c>
      <c r="R1276" s="17">
        <v>113667.54</v>
      </c>
      <c r="S1276" s="17">
        <v>63853.409017185993</v>
      </c>
      <c r="T1276" s="17">
        <v>25.65</v>
      </c>
    </row>
    <row r="1277" spans="1:20" x14ac:dyDescent="0.3">
      <c r="A1277" s="13">
        <v>46081</v>
      </c>
      <c r="B1277" s="7" t="s">
        <v>139</v>
      </c>
      <c r="C1277" s="7" t="s">
        <v>27</v>
      </c>
      <c r="D1277" s="7" t="s">
        <v>104</v>
      </c>
      <c r="E1277" s="7" t="s">
        <v>25</v>
      </c>
      <c r="F1277" s="14">
        <v>2652</v>
      </c>
      <c r="G1277" s="15">
        <v>55.11</v>
      </c>
      <c r="H1277" s="16">
        <v>7.5171315786314738E-2</v>
      </c>
      <c r="I1277" s="16">
        <v>3.3537576758534048E-2</v>
      </c>
      <c r="J1277" s="15">
        <v>24.18</v>
      </c>
      <c r="K1277" s="14">
        <v>1815</v>
      </c>
      <c r="L1277" s="14">
        <v>627</v>
      </c>
      <c r="M1277" s="15">
        <v>34.97</v>
      </c>
      <c r="N1277" s="17">
        <v>146151.72</v>
      </c>
      <c r="O1277" s="17">
        <v>10986.417096833051</v>
      </c>
      <c r="P1277" s="17">
        <v>4533.116721205467</v>
      </c>
      <c r="Q1277" s="17">
        <v>130632.1861819615</v>
      </c>
      <c r="R1277" s="17">
        <v>64125.36</v>
      </c>
      <c r="S1277" s="17">
        <v>66506.826181961471</v>
      </c>
      <c r="T1277" s="17">
        <v>21926.19</v>
      </c>
    </row>
    <row r="1278" spans="1:20" x14ac:dyDescent="0.3">
      <c r="A1278" s="13">
        <v>46081</v>
      </c>
      <c r="B1278" s="7" t="s">
        <v>139</v>
      </c>
      <c r="C1278" s="7" t="s">
        <v>27</v>
      </c>
      <c r="D1278" s="7" t="s">
        <v>104</v>
      </c>
      <c r="E1278" s="7" t="s">
        <v>28</v>
      </c>
      <c r="F1278" s="14">
        <v>1310</v>
      </c>
      <c r="G1278" s="15">
        <v>51.53</v>
      </c>
      <c r="H1278" s="16">
        <v>0.100787418987421</v>
      </c>
      <c r="I1278" s="16">
        <v>6.0091971756528403E-2</v>
      </c>
      <c r="J1278" s="15">
        <v>24.13</v>
      </c>
      <c r="K1278" s="14">
        <v>1069</v>
      </c>
      <c r="L1278" s="14">
        <v>295</v>
      </c>
      <c r="M1278" s="15">
        <v>21.22</v>
      </c>
      <c r="N1278" s="17">
        <v>67504.3</v>
      </c>
      <c r="O1278" s="17">
        <v>6803.5841675525662</v>
      </c>
      <c r="P1278" s="17">
        <v>3647.6257014044868</v>
      </c>
      <c r="Q1278" s="17">
        <v>57053.090131042947</v>
      </c>
      <c r="R1278" s="17">
        <v>31610.3</v>
      </c>
      <c r="S1278" s="17">
        <v>25442.790131042952</v>
      </c>
      <c r="T1278" s="17">
        <v>6259.9</v>
      </c>
    </row>
    <row r="1279" spans="1:20" x14ac:dyDescent="0.3">
      <c r="A1279" s="13">
        <v>46081</v>
      </c>
      <c r="B1279" s="7" t="s">
        <v>139</v>
      </c>
      <c r="C1279" s="7" t="s">
        <v>27</v>
      </c>
      <c r="D1279" s="7" t="s">
        <v>104</v>
      </c>
      <c r="E1279" s="7" t="s">
        <v>30</v>
      </c>
      <c r="F1279" s="14">
        <v>861</v>
      </c>
      <c r="G1279" s="15">
        <v>42.76</v>
      </c>
      <c r="H1279" s="16">
        <v>4.4115342738627522E-2</v>
      </c>
      <c r="I1279" s="16">
        <v>1.868883215308572E-2</v>
      </c>
      <c r="J1279" s="15">
        <v>24.22</v>
      </c>
      <c r="K1279" s="14">
        <v>70</v>
      </c>
      <c r="L1279" s="14">
        <v>4</v>
      </c>
      <c r="M1279" s="15">
        <v>4.97</v>
      </c>
      <c r="N1279" s="17">
        <v>36816.36</v>
      </c>
      <c r="O1279" s="17">
        <v>1624.1663397886971</v>
      </c>
      <c r="P1279" s="17">
        <v>657.70100041457658</v>
      </c>
      <c r="Q1279" s="17">
        <v>34534.492659796728</v>
      </c>
      <c r="R1279" s="17">
        <v>20853.419999999998</v>
      </c>
      <c r="S1279" s="17">
        <v>13681.07265979673</v>
      </c>
      <c r="T1279" s="17">
        <v>19.88</v>
      </c>
    </row>
    <row r="1280" spans="1:20" x14ac:dyDescent="0.3">
      <c r="A1280" s="13">
        <v>46081</v>
      </c>
      <c r="B1280" s="7" t="s">
        <v>139</v>
      </c>
      <c r="C1280" s="7" t="s">
        <v>29</v>
      </c>
      <c r="D1280" s="7" t="s">
        <v>102</v>
      </c>
      <c r="E1280" s="7" t="s">
        <v>25</v>
      </c>
      <c r="F1280" s="14">
        <v>4683</v>
      </c>
      <c r="G1280" s="15">
        <v>126.11</v>
      </c>
      <c r="H1280" s="16">
        <v>6.687301334747095E-2</v>
      </c>
      <c r="I1280" s="16">
        <v>4.4007372536916133E-2</v>
      </c>
      <c r="J1280" s="15">
        <v>72.63</v>
      </c>
      <c r="K1280" s="14">
        <v>3345</v>
      </c>
      <c r="L1280" s="14">
        <v>1316</v>
      </c>
      <c r="M1280" s="15">
        <v>31.28</v>
      </c>
      <c r="N1280" s="17">
        <v>590573.13</v>
      </c>
      <c r="O1280" s="17">
        <v>39493.4048051477</v>
      </c>
      <c r="P1280" s="17">
        <v>24251.57076419123</v>
      </c>
      <c r="Q1280" s="17">
        <v>526828.15443066112</v>
      </c>
      <c r="R1280" s="17">
        <v>340126.29</v>
      </c>
      <c r="S1280" s="17">
        <v>186701.86443066111</v>
      </c>
      <c r="T1280" s="17">
        <v>41164.480000000003</v>
      </c>
    </row>
    <row r="1281" spans="1:20" x14ac:dyDescent="0.3">
      <c r="A1281" s="13">
        <v>46081</v>
      </c>
      <c r="B1281" s="7" t="s">
        <v>139</v>
      </c>
      <c r="C1281" s="7" t="s">
        <v>29</v>
      </c>
      <c r="D1281" s="7" t="s">
        <v>102</v>
      </c>
      <c r="E1281" s="7" t="s">
        <v>28</v>
      </c>
      <c r="F1281" s="14">
        <v>2058</v>
      </c>
      <c r="G1281" s="15">
        <v>117.84</v>
      </c>
      <c r="H1281" s="16">
        <v>0.1165782236773584</v>
      </c>
      <c r="I1281" s="16">
        <v>7.409603222620656E-2</v>
      </c>
      <c r="J1281" s="15">
        <v>71.89</v>
      </c>
      <c r="K1281" s="14">
        <v>1750</v>
      </c>
      <c r="L1281" s="14">
        <v>513</v>
      </c>
      <c r="M1281" s="15">
        <v>19.850000000000001</v>
      </c>
      <c r="N1281" s="17">
        <v>242514.72</v>
      </c>
      <c r="O1281" s="17">
        <v>28271.935273211951</v>
      </c>
      <c r="P1281" s="17">
        <v>15874.54028134832</v>
      </c>
      <c r="Q1281" s="17">
        <v>198368.24444543969</v>
      </c>
      <c r="R1281" s="17">
        <v>147949.62</v>
      </c>
      <c r="S1281" s="17">
        <v>50418.624445439753</v>
      </c>
      <c r="T1281" s="17">
        <v>10183.049999999999</v>
      </c>
    </row>
    <row r="1282" spans="1:20" x14ac:dyDescent="0.3">
      <c r="A1282" s="13">
        <v>46081</v>
      </c>
      <c r="B1282" s="7" t="s">
        <v>139</v>
      </c>
      <c r="C1282" s="7" t="s">
        <v>29</v>
      </c>
      <c r="D1282" s="7" t="s">
        <v>102</v>
      </c>
      <c r="E1282" s="7" t="s">
        <v>30</v>
      </c>
      <c r="F1282" s="14">
        <v>1727</v>
      </c>
      <c r="G1282" s="15">
        <v>106.9</v>
      </c>
      <c r="H1282" s="16">
        <v>4.2073722067908673E-2</v>
      </c>
      <c r="I1282" s="16">
        <v>1.9689556508928559E-2</v>
      </c>
      <c r="J1282" s="15">
        <v>75.87</v>
      </c>
      <c r="K1282" s="14">
        <v>146</v>
      </c>
      <c r="L1282" s="14">
        <v>9</v>
      </c>
      <c r="M1282" s="15">
        <v>5.21</v>
      </c>
      <c r="N1282" s="17">
        <v>184616.3</v>
      </c>
      <c r="O1282" s="17">
        <v>7767.494895405649</v>
      </c>
      <c r="P1282" s="17">
        <v>3482.0745416434052</v>
      </c>
      <c r="Q1282" s="17">
        <v>173366.73056295101</v>
      </c>
      <c r="R1282" s="17">
        <v>131027.49</v>
      </c>
      <c r="S1282" s="17">
        <v>42339.240562950938</v>
      </c>
      <c r="T1282" s="17">
        <v>46.89</v>
      </c>
    </row>
    <row r="1283" spans="1:20" x14ac:dyDescent="0.3">
      <c r="A1283" s="13">
        <v>46081</v>
      </c>
      <c r="B1283" s="7" t="s">
        <v>139</v>
      </c>
      <c r="C1283" s="7" t="s">
        <v>29</v>
      </c>
      <c r="D1283" s="7" t="s">
        <v>103</v>
      </c>
      <c r="E1283" s="7" t="s">
        <v>25</v>
      </c>
      <c r="F1283" s="14">
        <v>2160</v>
      </c>
      <c r="G1283" s="15">
        <v>232.16</v>
      </c>
      <c r="H1283" s="16">
        <v>5.4719748701143142E-2</v>
      </c>
      <c r="I1283" s="16">
        <v>3.2488327803761208E-2</v>
      </c>
      <c r="J1283" s="15">
        <v>122.34</v>
      </c>
      <c r="K1283" s="14">
        <v>1508</v>
      </c>
      <c r="L1283" s="14">
        <v>570</v>
      </c>
      <c r="M1283" s="15">
        <v>23.98</v>
      </c>
      <c r="N1283" s="17">
        <v>501465.59999999998</v>
      </c>
      <c r="O1283" s="17">
        <v>27440.07161426797</v>
      </c>
      <c r="P1283" s="17">
        <v>15400.29675354678</v>
      </c>
      <c r="Q1283" s="17">
        <v>458625.23163218523</v>
      </c>
      <c r="R1283" s="17">
        <v>264254.40000000002</v>
      </c>
      <c r="S1283" s="17">
        <v>194370.8316321852</v>
      </c>
      <c r="T1283" s="17">
        <v>13668.6</v>
      </c>
    </row>
    <row r="1284" spans="1:20" x14ac:dyDescent="0.3">
      <c r="A1284" s="13">
        <v>46081</v>
      </c>
      <c r="B1284" s="7" t="s">
        <v>139</v>
      </c>
      <c r="C1284" s="7" t="s">
        <v>29</v>
      </c>
      <c r="D1284" s="7" t="s">
        <v>103</v>
      </c>
      <c r="E1284" s="7" t="s">
        <v>28</v>
      </c>
      <c r="F1284" s="14">
        <v>820</v>
      </c>
      <c r="G1284" s="15">
        <v>216.7</v>
      </c>
      <c r="H1284" s="16">
        <v>5.8198002883280663E-2</v>
      </c>
      <c r="I1284" s="16">
        <v>8.3618795366435128E-2</v>
      </c>
      <c r="J1284" s="15">
        <v>130.22999999999999</v>
      </c>
      <c r="K1284" s="14">
        <v>679</v>
      </c>
      <c r="L1284" s="14">
        <v>205</v>
      </c>
      <c r="M1284" s="15">
        <v>19.440000000000001</v>
      </c>
      <c r="N1284" s="17">
        <v>177694</v>
      </c>
      <c r="O1284" s="17">
        <v>10341.435924341669</v>
      </c>
      <c r="P1284" s="17">
        <v>13993.8198094907</v>
      </c>
      <c r="Q1284" s="17">
        <v>153358.7442661676</v>
      </c>
      <c r="R1284" s="17">
        <v>106788.6</v>
      </c>
      <c r="S1284" s="17">
        <v>46570.144266167641</v>
      </c>
      <c r="T1284" s="17">
        <v>3985.2</v>
      </c>
    </row>
    <row r="1285" spans="1:20" x14ac:dyDescent="0.3">
      <c r="A1285" s="13">
        <v>46081</v>
      </c>
      <c r="B1285" s="7" t="s">
        <v>139</v>
      </c>
      <c r="C1285" s="7" t="s">
        <v>29</v>
      </c>
      <c r="D1285" s="7" t="s">
        <v>103</v>
      </c>
      <c r="E1285" s="7" t="s">
        <v>30</v>
      </c>
      <c r="F1285" s="14">
        <v>1083</v>
      </c>
      <c r="G1285" s="15">
        <v>185.73</v>
      </c>
      <c r="H1285" s="16">
        <v>4.1432427551748141E-2</v>
      </c>
      <c r="I1285" s="16">
        <v>1.363081337432898E-2</v>
      </c>
      <c r="J1285" s="15">
        <v>126.17</v>
      </c>
      <c r="K1285" s="14">
        <v>87</v>
      </c>
      <c r="L1285" s="14">
        <v>6</v>
      </c>
      <c r="M1285" s="15">
        <v>5.35</v>
      </c>
      <c r="N1285" s="17">
        <v>201145.59</v>
      </c>
      <c r="O1285" s="17">
        <v>8333.9500850286349</v>
      </c>
      <c r="P1285" s="17">
        <v>2628.179480079295</v>
      </c>
      <c r="Q1285" s="17">
        <v>190183.4604348921</v>
      </c>
      <c r="R1285" s="17">
        <v>136642.10999999999</v>
      </c>
      <c r="S1285" s="17">
        <v>53541.350434892047</v>
      </c>
      <c r="T1285" s="17">
        <v>32.099999999999987</v>
      </c>
    </row>
    <row r="1286" spans="1:20" x14ac:dyDescent="0.3">
      <c r="A1286" s="13">
        <v>46081</v>
      </c>
      <c r="B1286" s="7" t="s">
        <v>139</v>
      </c>
      <c r="C1286" s="7" t="s">
        <v>29</v>
      </c>
      <c r="D1286" s="7" t="s">
        <v>104</v>
      </c>
      <c r="E1286" s="7" t="s">
        <v>25</v>
      </c>
      <c r="F1286" s="14">
        <v>1644</v>
      </c>
      <c r="G1286" s="15">
        <v>46.86</v>
      </c>
      <c r="H1286" s="16">
        <v>5.4898680139778937E-2</v>
      </c>
      <c r="I1286" s="16">
        <v>4.8109137726156957E-2</v>
      </c>
      <c r="J1286" s="15">
        <v>22.67</v>
      </c>
      <c r="K1286" s="14">
        <v>1166</v>
      </c>
      <c r="L1286" s="14">
        <v>446</v>
      </c>
      <c r="M1286" s="15">
        <v>37.270000000000003</v>
      </c>
      <c r="N1286" s="17">
        <v>77037.84</v>
      </c>
      <c r="O1286" s="17">
        <v>4229.275736819468</v>
      </c>
      <c r="P1286" s="17">
        <v>3502.757245781102</v>
      </c>
      <c r="Q1286" s="17">
        <v>69305.80701739942</v>
      </c>
      <c r="R1286" s="17">
        <v>37269.480000000003</v>
      </c>
      <c r="S1286" s="17">
        <v>32036.327017399421</v>
      </c>
      <c r="T1286" s="17">
        <v>16622.419999999998</v>
      </c>
    </row>
    <row r="1287" spans="1:20" x14ac:dyDescent="0.3">
      <c r="A1287" s="13">
        <v>46081</v>
      </c>
      <c r="B1287" s="7" t="s">
        <v>139</v>
      </c>
      <c r="C1287" s="7" t="s">
        <v>29</v>
      </c>
      <c r="D1287" s="7" t="s">
        <v>104</v>
      </c>
      <c r="E1287" s="7" t="s">
        <v>28</v>
      </c>
      <c r="F1287" s="14">
        <v>958</v>
      </c>
      <c r="G1287" s="15">
        <v>46.93</v>
      </c>
      <c r="H1287" s="16">
        <v>9.3402050776226028E-2</v>
      </c>
      <c r="I1287" s="16">
        <v>6.8986262779422339E-2</v>
      </c>
      <c r="J1287" s="15">
        <v>23.84</v>
      </c>
      <c r="K1287" s="14">
        <v>745</v>
      </c>
      <c r="L1287" s="14">
        <v>239</v>
      </c>
      <c r="M1287" s="15">
        <v>17.11</v>
      </c>
      <c r="N1287" s="17">
        <v>44958.94</v>
      </c>
      <c r="O1287" s="17">
        <v>4199.2571967252998</v>
      </c>
      <c r="P1287" s="17">
        <v>2811.8581886726101</v>
      </c>
      <c r="Q1287" s="17">
        <v>37947.82461460209</v>
      </c>
      <c r="R1287" s="17">
        <v>22838.720000000001</v>
      </c>
      <c r="S1287" s="17">
        <v>15109.104614602091</v>
      </c>
      <c r="T1287" s="17">
        <v>4089.29</v>
      </c>
    </row>
    <row r="1288" spans="1:20" x14ac:dyDescent="0.3">
      <c r="A1288" s="13">
        <v>46081</v>
      </c>
      <c r="B1288" s="7" t="s">
        <v>139</v>
      </c>
      <c r="C1288" s="7" t="s">
        <v>29</v>
      </c>
      <c r="D1288" s="7" t="s">
        <v>104</v>
      </c>
      <c r="E1288" s="7" t="s">
        <v>30</v>
      </c>
      <c r="F1288" s="14">
        <v>635</v>
      </c>
      <c r="G1288" s="15">
        <v>39.409999999999997</v>
      </c>
      <c r="H1288" s="16">
        <v>4.3096978137558813E-2</v>
      </c>
      <c r="I1288" s="16">
        <v>2.53271236179879E-2</v>
      </c>
      <c r="J1288" s="15">
        <v>22.58</v>
      </c>
      <c r="K1288" s="14">
        <v>50</v>
      </c>
      <c r="L1288" s="14">
        <v>3</v>
      </c>
      <c r="M1288" s="15">
        <v>4.5199999999999996</v>
      </c>
      <c r="N1288" s="17">
        <v>25025.35</v>
      </c>
      <c r="O1288" s="17">
        <v>1078.516961834757</v>
      </c>
      <c r="P1288" s="17">
        <v>606.5044006169278</v>
      </c>
      <c r="Q1288" s="17">
        <v>23340.328637548311</v>
      </c>
      <c r="R1288" s="17">
        <v>14338.3</v>
      </c>
      <c r="S1288" s="17">
        <v>9002.0286375483156</v>
      </c>
      <c r="T1288" s="17">
        <v>13.56</v>
      </c>
    </row>
    <row r="1289" spans="1:20" x14ac:dyDescent="0.3">
      <c r="A1289" s="13">
        <v>46081</v>
      </c>
      <c r="B1289" s="7" t="s">
        <v>139</v>
      </c>
      <c r="C1289" s="7" t="s">
        <v>31</v>
      </c>
      <c r="D1289" s="7" t="s">
        <v>102</v>
      </c>
      <c r="E1289" s="7" t="s">
        <v>25</v>
      </c>
      <c r="F1289" s="14">
        <v>2973</v>
      </c>
      <c r="G1289" s="15">
        <v>117.08</v>
      </c>
      <c r="H1289" s="16">
        <v>5.2604872563254787E-2</v>
      </c>
      <c r="I1289" s="16">
        <v>5.6235292108918068E-2</v>
      </c>
      <c r="J1289" s="15">
        <v>70.19</v>
      </c>
      <c r="K1289" s="14">
        <v>2038</v>
      </c>
      <c r="L1289" s="14">
        <v>784</v>
      </c>
      <c r="M1289" s="15">
        <v>25.51</v>
      </c>
      <c r="N1289" s="17">
        <v>348078.84</v>
      </c>
      <c r="O1289" s="17">
        <v>18310.643020165549</v>
      </c>
      <c r="P1289" s="17">
        <v>18544.61088539222</v>
      </c>
      <c r="Q1289" s="17">
        <v>311223.58609444217</v>
      </c>
      <c r="R1289" s="17">
        <v>208674.87</v>
      </c>
      <c r="S1289" s="17">
        <v>102548.71609444221</v>
      </c>
      <c r="T1289" s="17">
        <v>19999.84</v>
      </c>
    </row>
    <row r="1290" spans="1:20" x14ac:dyDescent="0.3">
      <c r="A1290" s="13">
        <v>46081</v>
      </c>
      <c r="B1290" s="7" t="s">
        <v>139</v>
      </c>
      <c r="C1290" s="7" t="s">
        <v>31</v>
      </c>
      <c r="D1290" s="7" t="s">
        <v>102</v>
      </c>
      <c r="E1290" s="7" t="s">
        <v>28</v>
      </c>
      <c r="F1290" s="14">
        <v>886</v>
      </c>
      <c r="G1290" s="15">
        <v>107.57</v>
      </c>
      <c r="H1290" s="16">
        <v>9.8335286517518869E-2</v>
      </c>
      <c r="I1290" s="16">
        <v>4.9898786406601912E-2</v>
      </c>
      <c r="J1290" s="15">
        <v>73.22</v>
      </c>
      <c r="K1290" s="14">
        <v>679</v>
      </c>
      <c r="L1290" s="14">
        <v>196</v>
      </c>
      <c r="M1290" s="15">
        <v>22.53</v>
      </c>
      <c r="N1290" s="17">
        <v>95307.01999999999</v>
      </c>
      <c r="O1290" s="17">
        <v>9372.0431188308994</v>
      </c>
      <c r="P1290" s="17">
        <v>4288.0510562497293</v>
      </c>
      <c r="Q1290" s="17">
        <v>81646.925824919366</v>
      </c>
      <c r="R1290" s="17">
        <v>64872.92</v>
      </c>
      <c r="S1290" s="17">
        <v>16774.005824919372</v>
      </c>
      <c r="T1290" s="17">
        <v>4415.88</v>
      </c>
    </row>
    <row r="1291" spans="1:20" x14ac:dyDescent="0.3">
      <c r="A1291" s="13">
        <v>46081</v>
      </c>
      <c r="B1291" s="7" t="s">
        <v>139</v>
      </c>
      <c r="C1291" s="7" t="s">
        <v>31</v>
      </c>
      <c r="D1291" s="7" t="s">
        <v>102</v>
      </c>
      <c r="E1291" s="7" t="s">
        <v>30</v>
      </c>
      <c r="F1291" s="14">
        <v>885</v>
      </c>
      <c r="G1291" s="15">
        <v>92.5</v>
      </c>
      <c r="H1291" s="16">
        <v>3.919732376487256E-2</v>
      </c>
      <c r="I1291" s="16">
        <v>1.569780765966583E-2</v>
      </c>
      <c r="J1291" s="15">
        <v>72.8</v>
      </c>
      <c r="K1291" s="14">
        <v>73</v>
      </c>
      <c r="L1291" s="14">
        <v>4</v>
      </c>
      <c r="M1291" s="15">
        <v>7.32</v>
      </c>
      <c r="N1291" s="17">
        <v>81862.5</v>
      </c>
      <c r="O1291" s="17">
        <v>3208.7909167018802</v>
      </c>
      <c r="P1291" s="17">
        <v>1234.690796908925</v>
      </c>
      <c r="Q1291" s="17">
        <v>77419.018286389197</v>
      </c>
      <c r="R1291" s="17">
        <v>64428</v>
      </c>
      <c r="S1291" s="17">
        <v>12991.018286389201</v>
      </c>
      <c r="T1291" s="17">
        <v>29.28</v>
      </c>
    </row>
    <row r="1292" spans="1:20" x14ac:dyDescent="0.3">
      <c r="A1292" s="13">
        <v>46081</v>
      </c>
      <c r="B1292" s="7" t="s">
        <v>139</v>
      </c>
      <c r="C1292" s="7" t="s">
        <v>31</v>
      </c>
      <c r="D1292" s="7" t="s">
        <v>103</v>
      </c>
      <c r="E1292" s="7" t="s">
        <v>25</v>
      </c>
      <c r="F1292" s="14">
        <v>1051</v>
      </c>
      <c r="G1292" s="15">
        <v>215.66</v>
      </c>
      <c r="H1292" s="16">
        <v>6.0786216827342372E-2</v>
      </c>
      <c r="I1292" s="16">
        <v>3.2691868743912472E-2</v>
      </c>
      <c r="J1292" s="15">
        <v>123.16</v>
      </c>
      <c r="K1292" s="14">
        <v>667</v>
      </c>
      <c r="L1292" s="14">
        <v>248</v>
      </c>
      <c r="M1292" s="15">
        <v>24.84</v>
      </c>
      <c r="N1292" s="17">
        <v>226658.66</v>
      </c>
      <c r="O1292" s="17">
        <v>13777.72245255487</v>
      </c>
      <c r="P1292" s="17">
        <v>6959.4756683821042</v>
      </c>
      <c r="Q1292" s="17">
        <v>205921.46187906299</v>
      </c>
      <c r="R1292" s="17">
        <v>129441.16</v>
      </c>
      <c r="S1292" s="17">
        <v>76480.301879063016</v>
      </c>
      <c r="T1292" s="17">
        <v>6160.32</v>
      </c>
    </row>
    <row r="1293" spans="1:20" x14ac:dyDescent="0.3">
      <c r="A1293" s="13">
        <v>46081</v>
      </c>
      <c r="B1293" s="7" t="s">
        <v>139</v>
      </c>
      <c r="C1293" s="7" t="s">
        <v>31</v>
      </c>
      <c r="D1293" s="7" t="s">
        <v>103</v>
      </c>
      <c r="E1293" s="7" t="s">
        <v>28</v>
      </c>
      <c r="F1293" s="14">
        <v>368</v>
      </c>
      <c r="G1293" s="15">
        <v>204.82</v>
      </c>
      <c r="H1293" s="16">
        <v>7.1512239042143211E-2</v>
      </c>
      <c r="I1293" s="16">
        <v>8.6472388256876032E-2</v>
      </c>
      <c r="J1293" s="15">
        <v>119.42</v>
      </c>
      <c r="K1293" s="14">
        <v>315</v>
      </c>
      <c r="L1293" s="14">
        <v>89</v>
      </c>
      <c r="M1293" s="15">
        <v>17.28</v>
      </c>
      <c r="N1293" s="17">
        <v>75373.759999999995</v>
      </c>
      <c r="O1293" s="17">
        <v>5390.1463426251321</v>
      </c>
      <c r="P1293" s="17">
        <v>6051.6502117997316</v>
      </c>
      <c r="Q1293" s="17">
        <v>63931.963445575137</v>
      </c>
      <c r="R1293" s="17">
        <v>43946.559999999998</v>
      </c>
      <c r="S1293" s="17">
        <v>19985.403445575139</v>
      </c>
      <c r="T1293" s="17">
        <v>1537.92</v>
      </c>
    </row>
    <row r="1294" spans="1:20" x14ac:dyDescent="0.3">
      <c r="A1294" s="13">
        <v>46081</v>
      </c>
      <c r="B1294" s="7" t="s">
        <v>139</v>
      </c>
      <c r="C1294" s="7" t="s">
        <v>31</v>
      </c>
      <c r="D1294" s="7" t="s">
        <v>103</v>
      </c>
      <c r="E1294" s="7" t="s">
        <v>30</v>
      </c>
      <c r="F1294" s="14">
        <v>371</v>
      </c>
      <c r="G1294" s="15">
        <v>178.84</v>
      </c>
      <c r="H1294" s="16">
        <v>4.5763679395020913E-2</v>
      </c>
      <c r="I1294" s="16">
        <v>2.3957487179864789E-2</v>
      </c>
      <c r="J1294" s="15">
        <v>121.63</v>
      </c>
      <c r="K1294" s="14">
        <v>30</v>
      </c>
      <c r="L1294" s="14">
        <v>2</v>
      </c>
      <c r="M1294" s="15">
        <v>4.87</v>
      </c>
      <c r="N1294" s="17">
        <v>66349.64</v>
      </c>
      <c r="O1294" s="17">
        <v>3036.403652935056</v>
      </c>
      <c r="P1294" s="17">
        <v>1516.826048100558</v>
      </c>
      <c r="Q1294" s="17">
        <v>61796.410298964387</v>
      </c>
      <c r="R1294" s="17">
        <v>45124.73</v>
      </c>
      <c r="S1294" s="17">
        <v>16671.680298964391</v>
      </c>
      <c r="T1294" s="17">
        <v>9.74</v>
      </c>
    </row>
    <row r="1295" spans="1:20" x14ac:dyDescent="0.3">
      <c r="A1295" s="13">
        <v>46081</v>
      </c>
      <c r="B1295" s="7" t="s">
        <v>139</v>
      </c>
      <c r="C1295" s="7" t="s">
        <v>31</v>
      </c>
      <c r="D1295" s="7" t="s">
        <v>104</v>
      </c>
      <c r="E1295" s="7" t="s">
        <v>25</v>
      </c>
      <c r="F1295" s="14">
        <v>1173</v>
      </c>
      <c r="G1295" s="15">
        <v>44.09</v>
      </c>
      <c r="H1295" s="16">
        <v>5.6983711750996258E-2</v>
      </c>
      <c r="I1295" s="16">
        <v>3.8646657660768913E-2</v>
      </c>
      <c r="J1295" s="15">
        <v>21.59</v>
      </c>
      <c r="K1295" s="14">
        <v>840</v>
      </c>
      <c r="L1295" s="14">
        <v>302</v>
      </c>
      <c r="M1295" s="15">
        <v>29.63</v>
      </c>
      <c r="N1295" s="17">
        <v>51717.570000000007</v>
      </c>
      <c r="O1295" s="17">
        <v>2947.0591013419721</v>
      </c>
      <c r="P1295" s="17">
        <v>1884.8172386412359</v>
      </c>
      <c r="Q1295" s="17">
        <v>46885.693660016797</v>
      </c>
      <c r="R1295" s="17">
        <v>25325.07</v>
      </c>
      <c r="S1295" s="17">
        <v>21560.623660016801</v>
      </c>
      <c r="T1295" s="17">
        <v>8948.26</v>
      </c>
    </row>
    <row r="1296" spans="1:20" x14ac:dyDescent="0.3">
      <c r="A1296" s="13">
        <v>46081</v>
      </c>
      <c r="B1296" s="7" t="s">
        <v>139</v>
      </c>
      <c r="C1296" s="7" t="s">
        <v>31</v>
      </c>
      <c r="D1296" s="7" t="s">
        <v>104</v>
      </c>
      <c r="E1296" s="7" t="s">
        <v>28</v>
      </c>
      <c r="F1296" s="14">
        <v>484</v>
      </c>
      <c r="G1296" s="15">
        <v>42.6</v>
      </c>
      <c r="H1296" s="16">
        <v>0.1047099985592737</v>
      </c>
      <c r="I1296" s="16">
        <v>5.4610720435403749E-2</v>
      </c>
      <c r="J1296" s="15">
        <v>22.9</v>
      </c>
      <c r="K1296" s="14">
        <v>413</v>
      </c>
      <c r="L1296" s="14">
        <v>105</v>
      </c>
      <c r="M1296" s="15">
        <v>15.22</v>
      </c>
      <c r="N1296" s="17">
        <v>20618.400000000001</v>
      </c>
      <c r="O1296" s="17">
        <v>2158.9526342945278</v>
      </c>
      <c r="P1296" s="17">
        <v>1008.083719480592</v>
      </c>
      <c r="Q1296" s="17">
        <v>17451.36364622488</v>
      </c>
      <c r="R1296" s="17">
        <v>11083.6</v>
      </c>
      <c r="S1296" s="17">
        <v>6367.7636462248847</v>
      </c>
      <c r="T1296" s="17">
        <v>1598.1</v>
      </c>
    </row>
    <row r="1297" spans="1:20" x14ac:dyDescent="0.3">
      <c r="A1297" s="13">
        <v>46081</v>
      </c>
      <c r="B1297" s="7" t="s">
        <v>139</v>
      </c>
      <c r="C1297" s="7" t="s">
        <v>31</v>
      </c>
      <c r="D1297" s="7" t="s">
        <v>104</v>
      </c>
      <c r="E1297" s="7" t="s">
        <v>30</v>
      </c>
      <c r="F1297" s="14">
        <v>257</v>
      </c>
      <c r="G1297" s="15">
        <v>34.380000000000003</v>
      </c>
      <c r="H1297" s="16">
        <v>3.962018066331198E-2</v>
      </c>
      <c r="I1297" s="16">
        <v>1.960705803542822E-2</v>
      </c>
      <c r="J1297" s="15">
        <v>23.22</v>
      </c>
      <c r="K1297" s="14">
        <v>23</v>
      </c>
      <c r="L1297" s="14">
        <v>1</v>
      </c>
      <c r="M1297" s="15">
        <v>5.01</v>
      </c>
      <c r="N1297" s="17">
        <v>8835.66</v>
      </c>
      <c r="O1297" s="17">
        <v>350.07044547959907</v>
      </c>
      <c r="P1297" s="17">
        <v>166.37744686030501</v>
      </c>
      <c r="Q1297" s="17">
        <v>8319.2121076600961</v>
      </c>
      <c r="R1297" s="17">
        <v>5967.54</v>
      </c>
      <c r="S1297" s="17">
        <v>2351.6721076600961</v>
      </c>
      <c r="T1297" s="17">
        <v>5.01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5"/>
  <sheetViews>
    <sheetView showGridLines="0" workbookViewId="0"/>
  </sheetViews>
  <sheetFormatPr defaultRowHeight="14.4" x14ac:dyDescent="0.3"/>
  <cols>
    <col min="1" max="2" width="10" customWidth="1"/>
    <col min="3" max="3" width="18" customWidth="1"/>
    <col min="4" max="4" width="10" customWidth="1"/>
    <col min="5" max="5" width="16" customWidth="1"/>
    <col min="6" max="8" width="13" customWidth="1"/>
  </cols>
  <sheetData>
    <row r="1" spans="1:8" ht="28.95" customHeight="1" x14ac:dyDescent="0.3">
      <c r="A1" s="12" t="s">
        <v>88</v>
      </c>
      <c r="B1" s="12" t="s">
        <v>58</v>
      </c>
      <c r="C1" s="12" t="s">
        <v>140</v>
      </c>
      <c r="D1" s="12" t="s">
        <v>141</v>
      </c>
      <c r="E1" s="12" t="s">
        <v>142</v>
      </c>
      <c r="F1" s="12" t="s">
        <v>65</v>
      </c>
      <c r="G1" s="12" t="s">
        <v>66</v>
      </c>
      <c r="H1" s="12" t="s">
        <v>67</v>
      </c>
    </row>
    <row r="2" spans="1:8" x14ac:dyDescent="0.3">
      <c r="A2" s="13">
        <v>45016</v>
      </c>
      <c r="B2" s="7" t="s">
        <v>101</v>
      </c>
      <c r="C2" s="7" t="s">
        <v>143</v>
      </c>
      <c r="D2" s="18">
        <v>38</v>
      </c>
      <c r="E2" s="19">
        <v>96489</v>
      </c>
      <c r="F2" s="17">
        <v>305548.5</v>
      </c>
      <c r="G2" s="19">
        <v>424059</v>
      </c>
      <c r="H2" s="17">
        <v>729607.5</v>
      </c>
    </row>
    <row r="3" spans="1:8" x14ac:dyDescent="0.3">
      <c r="A3" s="13">
        <v>45016</v>
      </c>
      <c r="B3" s="7" t="s">
        <v>101</v>
      </c>
      <c r="C3" s="7" t="s">
        <v>144</v>
      </c>
      <c r="D3" s="18">
        <v>25</v>
      </c>
      <c r="E3" s="19">
        <v>127166</v>
      </c>
      <c r="F3" s="17">
        <v>264929.16666666669</v>
      </c>
      <c r="G3" s="19">
        <v>182789</v>
      </c>
      <c r="H3" s="17">
        <v>447718.16666666669</v>
      </c>
    </row>
    <row r="4" spans="1:8" x14ac:dyDescent="0.3">
      <c r="A4" s="13">
        <v>45016</v>
      </c>
      <c r="B4" s="7" t="s">
        <v>101</v>
      </c>
      <c r="C4" s="7" t="s">
        <v>145</v>
      </c>
      <c r="D4" s="18">
        <v>14</v>
      </c>
      <c r="E4" s="19">
        <v>90240</v>
      </c>
      <c r="F4" s="17">
        <v>105280</v>
      </c>
      <c r="G4" s="19">
        <v>237730</v>
      </c>
      <c r="H4" s="17">
        <v>343010</v>
      </c>
    </row>
    <row r="5" spans="1:8" x14ac:dyDescent="0.3">
      <c r="A5" s="13">
        <v>45016</v>
      </c>
      <c r="B5" s="7" t="s">
        <v>101</v>
      </c>
      <c r="C5" s="7" t="s">
        <v>146</v>
      </c>
      <c r="D5" s="18">
        <v>22</v>
      </c>
      <c r="E5" s="19">
        <v>65003</v>
      </c>
      <c r="F5" s="17">
        <v>119172.1666666667</v>
      </c>
      <c r="G5" s="19">
        <v>137820</v>
      </c>
      <c r="H5" s="17">
        <v>256992.16666666669</v>
      </c>
    </row>
    <row r="6" spans="1:8" x14ac:dyDescent="0.3">
      <c r="A6" s="13">
        <v>45046</v>
      </c>
      <c r="B6" s="7" t="s">
        <v>105</v>
      </c>
      <c r="C6" s="7" t="s">
        <v>143</v>
      </c>
      <c r="D6" s="18">
        <v>40</v>
      </c>
      <c r="E6" s="19">
        <v>95548</v>
      </c>
      <c r="F6" s="17">
        <v>318493.33333333331</v>
      </c>
      <c r="G6" s="19">
        <v>449847</v>
      </c>
      <c r="H6" s="17">
        <v>768340.33333333326</v>
      </c>
    </row>
    <row r="7" spans="1:8" x14ac:dyDescent="0.3">
      <c r="A7" s="13">
        <v>45046</v>
      </c>
      <c r="B7" s="7" t="s">
        <v>105</v>
      </c>
      <c r="C7" s="7" t="s">
        <v>144</v>
      </c>
      <c r="D7" s="18">
        <v>26</v>
      </c>
      <c r="E7" s="19">
        <v>127298</v>
      </c>
      <c r="F7" s="17">
        <v>275812.33333333331</v>
      </c>
      <c r="G7" s="19">
        <v>186189</v>
      </c>
      <c r="H7" s="17">
        <v>462001.33333333331</v>
      </c>
    </row>
    <row r="8" spans="1:8" x14ac:dyDescent="0.3">
      <c r="A8" s="13">
        <v>45046</v>
      </c>
      <c r="B8" s="7" t="s">
        <v>105</v>
      </c>
      <c r="C8" s="7" t="s">
        <v>145</v>
      </c>
      <c r="D8" s="18">
        <v>14</v>
      </c>
      <c r="E8" s="19">
        <v>90207</v>
      </c>
      <c r="F8" s="17">
        <v>105241.5</v>
      </c>
      <c r="G8" s="19">
        <v>240748</v>
      </c>
      <c r="H8" s="17">
        <v>345989.5</v>
      </c>
    </row>
    <row r="9" spans="1:8" x14ac:dyDescent="0.3">
      <c r="A9" s="13">
        <v>45046</v>
      </c>
      <c r="B9" s="7" t="s">
        <v>105</v>
      </c>
      <c r="C9" s="7" t="s">
        <v>146</v>
      </c>
      <c r="D9" s="18">
        <v>22</v>
      </c>
      <c r="E9" s="19">
        <v>65123</v>
      </c>
      <c r="F9" s="17">
        <v>119392.1666666667</v>
      </c>
      <c r="G9" s="19">
        <v>134714</v>
      </c>
      <c r="H9" s="17">
        <v>254106.16666666669</v>
      </c>
    </row>
    <row r="10" spans="1:8" x14ac:dyDescent="0.3">
      <c r="A10" s="13">
        <v>45077</v>
      </c>
      <c r="B10" s="7" t="s">
        <v>106</v>
      </c>
      <c r="C10" s="7" t="s">
        <v>143</v>
      </c>
      <c r="D10" s="18">
        <v>40</v>
      </c>
      <c r="E10" s="19">
        <v>93685</v>
      </c>
      <c r="F10" s="17">
        <v>312283.33333333331</v>
      </c>
      <c r="G10" s="19">
        <v>407836</v>
      </c>
      <c r="H10" s="17">
        <v>720119.33333333326</v>
      </c>
    </row>
    <row r="11" spans="1:8" x14ac:dyDescent="0.3">
      <c r="A11" s="13">
        <v>45077</v>
      </c>
      <c r="B11" s="7" t="s">
        <v>106</v>
      </c>
      <c r="C11" s="7" t="s">
        <v>144</v>
      </c>
      <c r="D11" s="18">
        <v>27</v>
      </c>
      <c r="E11" s="19">
        <v>126220</v>
      </c>
      <c r="F11" s="17">
        <v>283995</v>
      </c>
      <c r="G11" s="19">
        <v>180209</v>
      </c>
      <c r="H11" s="17">
        <v>464204</v>
      </c>
    </row>
    <row r="12" spans="1:8" x14ac:dyDescent="0.3">
      <c r="A12" s="13">
        <v>45077</v>
      </c>
      <c r="B12" s="7" t="s">
        <v>106</v>
      </c>
      <c r="C12" s="7" t="s">
        <v>145</v>
      </c>
      <c r="D12" s="18">
        <v>14</v>
      </c>
      <c r="E12" s="19">
        <v>90694</v>
      </c>
      <c r="F12" s="17">
        <v>105809.6666666667</v>
      </c>
      <c r="G12" s="19">
        <v>229597</v>
      </c>
      <c r="H12" s="17">
        <v>335406.66666666669</v>
      </c>
    </row>
    <row r="13" spans="1:8" x14ac:dyDescent="0.3">
      <c r="A13" s="13">
        <v>45077</v>
      </c>
      <c r="B13" s="7" t="s">
        <v>106</v>
      </c>
      <c r="C13" s="7" t="s">
        <v>146</v>
      </c>
      <c r="D13" s="18">
        <v>22</v>
      </c>
      <c r="E13" s="19">
        <v>66909</v>
      </c>
      <c r="F13" s="17">
        <v>122666.5</v>
      </c>
      <c r="G13" s="19">
        <v>133279</v>
      </c>
      <c r="H13" s="17">
        <v>255945.5</v>
      </c>
    </row>
    <row r="14" spans="1:8" x14ac:dyDescent="0.3">
      <c r="A14" s="13">
        <v>45107</v>
      </c>
      <c r="B14" s="7" t="s">
        <v>107</v>
      </c>
      <c r="C14" s="7" t="s">
        <v>143</v>
      </c>
      <c r="D14" s="18">
        <v>38</v>
      </c>
      <c r="E14" s="19">
        <v>94937</v>
      </c>
      <c r="F14" s="17">
        <v>300633.83333333331</v>
      </c>
      <c r="G14" s="19">
        <v>420212</v>
      </c>
      <c r="H14" s="17">
        <v>720845.83333333326</v>
      </c>
    </row>
    <row r="15" spans="1:8" x14ac:dyDescent="0.3">
      <c r="A15" s="13">
        <v>45107</v>
      </c>
      <c r="B15" s="7" t="s">
        <v>107</v>
      </c>
      <c r="C15" s="7" t="s">
        <v>144</v>
      </c>
      <c r="D15" s="18">
        <v>26</v>
      </c>
      <c r="E15" s="19">
        <v>126859</v>
      </c>
      <c r="F15" s="17">
        <v>274861.16666666669</v>
      </c>
      <c r="G15" s="19">
        <v>184216</v>
      </c>
      <c r="H15" s="17">
        <v>459077.16666666669</v>
      </c>
    </row>
    <row r="16" spans="1:8" x14ac:dyDescent="0.3">
      <c r="A16" s="13">
        <v>45107</v>
      </c>
      <c r="B16" s="7" t="s">
        <v>107</v>
      </c>
      <c r="C16" s="7" t="s">
        <v>145</v>
      </c>
      <c r="D16" s="18">
        <v>14</v>
      </c>
      <c r="E16" s="19">
        <v>89247</v>
      </c>
      <c r="F16" s="17">
        <v>104121.5</v>
      </c>
      <c r="G16" s="19">
        <v>254823</v>
      </c>
      <c r="H16" s="17">
        <v>358944.5</v>
      </c>
    </row>
    <row r="17" spans="1:8" x14ac:dyDescent="0.3">
      <c r="A17" s="13">
        <v>45107</v>
      </c>
      <c r="B17" s="7" t="s">
        <v>107</v>
      </c>
      <c r="C17" s="7" t="s">
        <v>146</v>
      </c>
      <c r="D17" s="18">
        <v>22</v>
      </c>
      <c r="E17" s="19">
        <v>65936</v>
      </c>
      <c r="F17" s="17">
        <v>120882.6666666667</v>
      </c>
      <c r="G17" s="19">
        <v>132102</v>
      </c>
      <c r="H17" s="17">
        <v>252984.66666666669</v>
      </c>
    </row>
    <row r="18" spans="1:8" x14ac:dyDescent="0.3">
      <c r="A18" s="13">
        <v>45138</v>
      </c>
      <c r="B18" s="7" t="s">
        <v>108</v>
      </c>
      <c r="C18" s="7" t="s">
        <v>143</v>
      </c>
      <c r="D18" s="18">
        <v>40</v>
      </c>
      <c r="E18" s="19">
        <v>97661</v>
      </c>
      <c r="F18" s="17">
        <v>325536.66666666669</v>
      </c>
      <c r="G18" s="19">
        <v>390656</v>
      </c>
      <c r="H18" s="17">
        <v>716192.66666666674</v>
      </c>
    </row>
    <row r="19" spans="1:8" x14ac:dyDescent="0.3">
      <c r="A19" s="13">
        <v>45138</v>
      </c>
      <c r="B19" s="7" t="s">
        <v>108</v>
      </c>
      <c r="C19" s="7" t="s">
        <v>144</v>
      </c>
      <c r="D19" s="18">
        <v>26</v>
      </c>
      <c r="E19" s="19">
        <v>125247</v>
      </c>
      <c r="F19" s="17">
        <v>271368.5</v>
      </c>
      <c r="G19" s="19">
        <v>220094</v>
      </c>
      <c r="H19" s="17">
        <v>491462.5</v>
      </c>
    </row>
    <row r="20" spans="1:8" x14ac:dyDescent="0.3">
      <c r="A20" s="13">
        <v>45138</v>
      </c>
      <c r="B20" s="7" t="s">
        <v>108</v>
      </c>
      <c r="C20" s="7" t="s">
        <v>145</v>
      </c>
      <c r="D20" s="18">
        <v>14</v>
      </c>
      <c r="E20" s="19">
        <v>93191</v>
      </c>
      <c r="F20" s="17">
        <v>108722.8333333333</v>
      </c>
      <c r="G20" s="19">
        <v>235999</v>
      </c>
      <c r="H20" s="17">
        <v>344721.83333333331</v>
      </c>
    </row>
    <row r="21" spans="1:8" x14ac:dyDescent="0.3">
      <c r="A21" s="13">
        <v>45138</v>
      </c>
      <c r="B21" s="7" t="s">
        <v>108</v>
      </c>
      <c r="C21" s="7" t="s">
        <v>146</v>
      </c>
      <c r="D21" s="18">
        <v>22</v>
      </c>
      <c r="E21" s="19">
        <v>64976</v>
      </c>
      <c r="F21" s="17">
        <v>119122.6666666667</v>
      </c>
      <c r="G21" s="19">
        <v>131838</v>
      </c>
      <c r="H21" s="17">
        <v>250960.66666666669</v>
      </c>
    </row>
    <row r="22" spans="1:8" x14ac:dyDescent="0.3">
      <c r="A22" s="13">
        <v>45169</v>
      </c>
      <c r="B22" s="7" t="s">
        <v>109</v>
      </c>
      <c r="C22" s="7" t="s">
        <v>143</v>
      </c>
      <c r="D22" s="18">
        <v>39</v>
      </c>
      <c r="E22" s="19">
        <v>95171</v>
      </c>
      <c r="F22" s="17">
        <v>309305.75</v>
      </c>
      <c r="G22" s="19">
        <v>397401</v>
      </c>
      <c r="H22" s="17">
        <v>706706.75</v>
      </c>
    </row>
    <row r="23" spans="1:8" x14ac:dyDescent="0.3">
      <c r="A23" s="13">
        <v>45169</v>
      </c>
      <c r="B23" s="7" t="s">
        <v>109</v>
      </c>
      <c r="C23" s="7" t="s">
        <v>144</v>
      </c>
      <c r="D23" s="18">
        <v>28</v>
      </c>
      <c r="E23" s="19">
        <v>128894</v>
      </c>
      <c r="F23" s="17">
        <v>300752.66666666669</v>
      </c>
      <c r="G23" s="19">
        <v>196103</v>
      </c>
      <c r="H23" s="17">
        <v>496855.66666666669</v>
      </c>
    </row>
    <row r="24" spans="1:8" x14ac:dyDescent="0.3">
      <c r="A24" s="13">
        <v>45169</v>
      </c>
      <c r="B24" s="7" t="s">
        <v>109</v>
      </c>
      <c r="C24" s="7" t="s">
        <v>145</v>
      </c>
      <c r="D24" s="18">
        <v>14</v>
      </c>
      <c r="E24" s="19">
        <v>91257</v>
      </c>
      <c r="F24" s="17">
        <v>106466.5</v>
      </c>
      <c r="G24" s="19">
        <v>252798</v>
      </c>
      <c r="H24" s="17">
        <v>359264.5</v>
      </c>
    </row>
    <row r="25" spans="1:8" x14ac:dyDescent="0.3">
      <c r="A25" s="13">
        <v>45169</v>
      </c>
      <c r="B25" s="7" t="s">
        <v>109</v>
      </c>
      <c r="C25" s="7" t="s">
        <v>146</v>
      </c>
      <c r="D25" s="18">
        <v>22</v>
      </c>
      <c r="E25" s="19">
        <v>66175</v>
      </c>
      <c r="F25" s="17">
        <v>121320.8333333333</v>
      </c>
      <c r="G25" s="19">
        <v>128449</v>
      </c>
      <c r="H25" s="17">
        <v>249769.83333333331</v>
      </c>
    </row>
    <row r="26" spans="1:8" x14ac:dyDescent="0.3">
      <c r="A26" s="13">
        <v>45199</v>
      </c>
      <c r="B26" s="7" t="s">
        <v>110</v>
      </c>
      <c r="C26" s="7" t="s">
        <v>143</v>
      </c>
      <c r="D26" s="18">
        <v>38</v>
      </c>
      <c r="E26" s="19">
        <v>98102</v>
      </c>
      <c r="F26" s="17">
        <v>310656.33333333331</v>
      </c>
      <c r="G26" s="19">
        <v>491165</v>
      </c>
      <c r="H26" s="17">
        <v>801821.33333333326</v>
      </c>
    </row>
    <row r="27" spans="1:8" x14ac:dyDescent="0.3">
      <c r="A27" s="13">
        <v>45199</v>
      </c>
      <c r="B27" s="7" t="s">
        <v>110</v>
      </c>
      <c r="C27" s="7" t="s">
        <v>144</v>
      </c>
      <c r="D27" s="18">
        <v>28</v>
      </c>
      <c r="E27" s="19">
        <v>128993</v>
      </c>
      <c r="F27" s="17">
        <v>300983.66666666669</v>
      </c>
      <c r="G27" s="19">
        <v>179123</v>
      </c>
      <c r="H27" s="17">
        <v>480106.66666666669</v>
      </c>
    </row>
    <row r="28" spans="1:8" x14ac:dyDescent="0.3">
      <c r="A28" s="13">
        <v>45199</v>
      </c>
      <c r="B28" s="7" t="s">
        <v>110</v>
      </c>
      <c r="C28" s="7" t="s">
        <v>145</v>
      </c>
      <c r="D28" s="18">
        <v>14</v>
      </c>
      <c r="E28" s="19">
        <v>92197</v>
      </c>
      <c r="F28" s="17">
        <v>107563.1666666667</v>
      </c>
      <c r="G28" s="19">
        <v>275944</v>
      </c>
      <c r="H28" s="17">
        <v>383507.16666666669</v>
      </c>
    </row>
    <row r="29" spans="1:8" x14ac:dyDescent="0.3">
      <c r="A29" s="13">
        <v>45199</v>
      </c>
      <c r="B29" s="7" t="s">
        <v>110</v>
      </c>
      <c r="C29" s="7" t="s">
        <v>146</v>
      </c>
      <c r="D29" s="18">
        <v>23</v>
      </c>
      <c r="E29" s="19">
        <v>65741</v>
      </c>
      <c r="F29" s="17">
        <v>126003.5833333333</v>
      </c>
      <c r="G29" s="19">
        <v>153053</v>
      </c>
      <c r="H29" s="17">
        <v>279056.58333333331</v>
      </c>
    </row>
    <row r="30" spans="1:8" x14ac:dyDescent="0.3">
      <c r="A30" s="13">
        <v>45230</v>
      </c>
      <c r="B30" s="7" t="s">
        <v>111</v>
      </c>
      <c r="C30" s="7" t="s">
        <v>143</v>
      </c>
      <c r="D30" s="18">
        <v>38</v>
      </c>
      <c r="E30" s="19">
        <v>95553</v>
      </c>
      <c r="F30" s="17">
        <v>302584.5</v>
      </c>
      <c r="G30" s="19">
        <v>463664</v>
      </c>
      <c r="H30" s="17">
        <v>766248.5</v>
      </c>
    </row>
    <row r="31" spans="1:8" x14ac:dyDescent="0.3">
      <c r="A31" s="13">
        <v>45230</v>
      </c>
      <c r="B31" s="7" t="s">
        <v>111</v>
      </c>
      <c r="C31" s="7" t="s">
        <v>144</v>
      </c>
      <c r="D31" s="18">
        <v>28</v>
      </c>
      <c r="E31" s="19">
        <v>125128</v>
      </c>
      <c r="F31" s="17">
        <v>291965.33333333331</v>
      </c>
      <c r="G31" s="19">
        <v>173147</v>
      </c>
      <c r="H31" s="17">
        <v>465112.33333333331</v>
      </c>
    </row>
    <row r="32" spans="1:8" x14ac:dyDescent="0.3">
      <c r="A32" s="13">
        <v>45230</v>
      </c>
      <c r="B32" s="7" t="s">
        <v>111</v>
      </c>
      <c r="C32" s="7" t="s">
        <v>145</v>
      </c>
      <c r="D32" s="18">
        <v>14</v>
      </c>
      <c r="E32" s="19">
        <v>91229</v>
      </c>
      <c r="F32" s="17">
        <v>106433.8333333333</v>
      </c>
      <c r="G32" s="19">
        <v>233101</v>
      </c>
      <c r="H32" s="17">
        <v>339534.83333333331</v>
      </c>
    </row>
    <row r="33" spans="1:8" x14ac:dyDescent="0.3">
      <c r="A33" s="13">
        <v>45230</v>
      </c>
      <c r="B33" s="7" t="s">
        <v>111</v>
      </c>
      <c r="C33" s="7" t="s">
        <v>146</v>
      </c>
      <c r="D33" s="18">
        <v>23</v>
      </c>
      <c r="E33" s="19">
        <v>67384</v>
      </c>
      <c r="F33" s="17">
        <v>129152.6666666667</v>
      </c>
      <c r="G33" s="19">
        <v>144013</v>
      </c>
      <c r="H33" s="17">
        <v>273165.66666666669</v>
      </c>
    </row>
    <row r="34" spans="1:8" x14ac:dyDescent="0.3">
      <c r="A34" s="13">
        <v>45260</v>
      </c>
      <c r="B34" s="7" t="s">
        <v>112</v>
      </c>
      <c r="C34" s="7" t="s">
        <v>143</v>
      </c>
      <c r="D34" s="18">
        <v>42</v>
      </c>
      <c r="E34" s="19">
        <v>98856</v>
      </c>
      <c r="F34" s="17">
        <v>345996</v>
      </c>
      <c r="G34" s="19">
        <v>537057</v>
      </c>
      <c r="H34" s="17">
        <v>883053</v>
      </c>
    </row>
    <row r="35" spans="1:8" x14ac:dyDescent="0.3">
      <c r="A35" s="13">
        <v>45260</v>
      </c>
      <c r="B35" s="7" t="s">
        <v>112</v>
      </c>
      <c r="C35" s="7" t="s">
        <v>144</v>
      </c>
      <c r="D35" s="18">
        <v>28</v>
      </c>
      <c r="E35" s="19">
        <v>127565</v>
      </c>
      <c r="F35" s="17">
        <v>297651.66666666669</v>
      </c>
      <c r="G35" s="19">
        <v>194852</v>
      </c>
      <c r="H35" s="17">
        <v>492503.66666666669</v>
      </c>
    </row>
    <row r="36" spans="1:8" x14ac:dyDescent="0.3">
      <c r="A36" s="13">
        <v>45260</v>
      </c>
      <c r="B36" s="7" t="s">
        <v>112</v>
      </c>
      <c r="C36" s="7" t="s">
        <v>145</v>
      </c>
      <c r="D36" s="18">
        <v>14</v>
      </c>
      <c r="E36" s="19">
        <v>89223</v>
      </c>
      <c r="F36" s="17">
        <v>104093.5</v>
      </c>
      <c r="G36" s="19">
        <v>275686</v>
      </c>
      <c r="H36" s="17">
        <v>379779.5</v>
      </c>
    </row>
    <row r="37" spans="1:8" x14ac:dyDescent="0.3">
      <c r="A37" s="13">
        <v>45260</v>
      </c>
      <c r="B37" s="7" t="s">
        <v>112</v>
      </c>
      <c r="C37" s="7" t="s">
        <v>146</v>
      </c>
      <c r="D37" s="18">
        <v>22</v>
      </c>
      <c r="E37" s="19">
        <v>65354</v>
      </c>
      <c r="F37" s="17">
        <v>119815.6666666667</v>
      </c>
      <c r="G37" s="19">
        <v>151397</v>
      </c>
      <c r="H37" s="17">
        <v>271212.66666666669</v>
      </c>
    </row>
    <row r="38" spans="1:8" x14ac:dyDescent="0.3">
      <c r="A38" s="13">
        <v>45291</v>
      </c>
      <c r="B38" s="7" t="s">
        <v>113</v>
      </c>
      <c r="C38" s="7" t="s">
        <v>143</v>
      </c>
      <c r="D38" s="18">
        <v>40</v>
      </c>
      <c r="E38" s="19">
        <v>95101</v>
      </c>
      <c r="F38" s="17">
        <v>317003.33333333331</v>
      </c>
      <c r="G38" s="19">
        <v>513574</v>
      </c>
      <c r="H38" s="17">
        <v>830577.33333333326</v>
      </c>
    </row>
    <row r="39" spans="1:8" x14ac:dyDescent="0.3">
      <c r="A39" s="13">
        <v>45291</v>
      </c>
      <c r="B39" s="7" t="s">
        <v>113</v>
      </c>
      <c r="C39" s="7" t="s">
        <v>144</v>
      </c>
      <c r="D39" s="18">
        <v>29</v>
      </c>
      <c r="E39" s="19">
        <v>125677</v>
      </c>
      <c r="F39" s="17">
        <v>303719.41666666669</v>
      </c>
      <c r="G39" s="19">
        <v>202831</v>
      </c>
      <c r="H39" s="17">
        <v>506550.41666666669</v>
      </c>
    </row>
    <row r="40" spans="1:8" x14ac:dyDescent="0.3">
      <c r="A40" s="13">
        <v>45291</v>
      </c>
      <c r="B40" s="7" t="s">
        <v>113</v>
      </c>
      <c r="C40" s="7" t="s">
        <v>145</v>
      </c>
      <c r="D40" s="18">
        <v>14</v>
      </c>
      <c r="E40" s="19">
        <v>94969</v>
      </c>
      <c r="F40" s="17">
        <v>110797.1666666667</v>
      </c>
      <c r="G40" s="19">
        <v>257160</v>
      </c>
      <c r="H40" s="17">
        <v>367957.16666666669</v>
      </c>
    </row>
    <row r="41" spans="1:8" x14ac:dyDescent="0.3">
      <c r="A41" s="13">
        <v>45291</v>
      </c>
      <c r="B41" s="7" t="s">
        <v>113</v>
      </c>
      <c r="C41" s="7" t="s">
        <v>146</v>
      </c>
      <c r="D41" s="18">
        <v>23</v>
      </c>
      <c r="E41" s="19">
        <v>64591</v>
      </c>
      <c r="F41" s="17">
        <v>123799.4166666667</v>
      </c>
      <c r="G41" s="19">
        <v>151018</v>
      </c>
      <c r="H41" s="17">
        <v>274817.41666666669</v>
      </c>
    </row>
    <row r="42" spans="1:8" x14ac:dyDescent="0.3">
      <c r="A42" s="13">
        <v>45322</v>
      </c>
      <c r="B42" s="7" t="s">
        <v>114</v>
      </c>
      <c r="C42" s="7" t="s">
        <v>143</v>
      </c>
      <c r="D42" s="18">
        <v>41</v>
      </c>
      <c r="E42" s="19">
        <v>97276</v>
      </c>
      <c r="F42" s="17">
        <v>332359.66666666669</v>
      </c>
      <c r="G42" s="19">
        <v>431782</v>
      </c>
      <c r="H42" s="17">
        <v>764141.66666666674</v>
      </c>
    </row>
    <row r="43" spans="1:8" x14ac:dyDescent="0.3">
      <c r="A43" s="13">
        <v>45322</v>
      </c>
      <c r="B43" s="7" t="s">
        <v>114</v>
      </c>
      <c r="C43" s="7" t="s">
        <v>144</v>
      </c>
      <c r="D43" s="18">
        <v>27</v>
      </c>
      <c r="E43" s="19">
        <v>130334</v>
      </c>
      <c r="F43" s="17">
        <v>293251.5</v>
      </c>
      <c r="G43" s="19">
        <v>185006</v>
      </c>
      <c r="H43" s="17">
        <v>478257.5</v>
      </c>
    </row>
    <row r="44" spans="1:8" x14ac:dyDescent="0.3">
      <c r="A44" s="13">
        <v>45322</v>
      </c>
      <c r="B44" s="7" t="s">
        <v>114</v>
      </c>
      <c r="C44" s="7" t="s">
        <v>145</v>
      </c>
      <c r="D44" s="18">
        <v>15</v>
      </c>
      <c r="E44" s="19">
        <v>91547</v>
      </c>
      <c r="F44" s="17">
        <v>114433.75</v>
      </c>
      <c r="G44" s="19">
        <v>257301</v>
      </c>
      <c r="H44" s="17">
        <v>371734.75</v>
      </c>
    </row>
    <row r="45" spans="1:8" x14ac:dyDescent="0.3">
      <c r="A45" s="13">
        <v>45322</v>
      </c>
      <c r="B45" s="7" t="s">
        <v>114</v>
      </c>
      <c r="C45" s="7" t="s">
        <v>146</v>
      </c>
      <c r="D45" s="18">
        <v>24</v>
      </c>
      <c r="E45" s="19">
        <v>65021</v>
      </c>
      <c r="F45" s="17">
        <v>130042</v>
      </c>
      <c r="G45" s="19">
        <v>129605</v>
      </c>
      <c r="H45" s="17">
        <v>259647</v>
      </c>
    </row>
    <row r="46" spans="1:8" x14ac:dyDescent="0.3">
      <c r="A46" s="13">
        <v>45351</v>
      </c>
      <c r="B46" s="7" t="s">
        <v>115</v>
      </c>
      <c r="C46" s="7" t="s">
        <v>143</v>
      </c>
      <c r="D46" s="18">
        <v>42</v>
      </c>
      <c r="E46" s="19">
        <v>95929</v>
      </c>
      <c r="F46" s="17">
        <v>335751.5</v>
      </c>
      <c r="G46" s="19">
        <v>387317</v>
      </c>
      <c r="H46" s="17">
        <v>723068.5</v>
      </c>
    </row>
    <row r="47" spans="1:8" x14ac:dyDescent="0.3">
      <c r="A47" s="13">
        <v>45351</v>
      </c>
      <c r="B47" s="7" t="s">
        <v>115</v>
      </c>
      <c r="C47" s="7" t="s">
        <v>144</v>
      </c>
      <c r="D47" s="18">
        <v>30</v>
      </c>
      <c r="E47" s="19">
        <v>125795</v>
      </c>
      <c r="F47" s="17">
        <v>314487.5</v>
      </c>
      <c r="G47" s="19">
        <v>187737</v>
      </c>
      <c r="H47" s="17">
        <v>502224.5</v>
      </c>
    </row>
    <row r="48" spans="1:8" x14ac:dyDescent="0.3">
      <c r="A48" s="13">
        <v>45351</v>
      </c>
      <c r="B48" s="7" t="s">
        <v>115</v>
      </c>
      <c r="C48" s="7" t="s">
        <v>145</v>
      </c>
      <c r="D48" s="18">
        <v>14</v>
      </c>
      <c r="E48" s="19">
        <v>88606</v>
      </c>
      <c r="F48" s="17">
        <v>103373.6666666667</v>
      </c>
      <c r="G48" s="19">
        <v>261525</v>
      </c>
      <c r="H48" s="17">
        <v>364898.66666666669</v>
      </c>
    </row>
    <row r="49" spans="1:8" x14ac:dyDescent="0.3">
      <c r="A49" s="13">
        <v>45351</v>
      </c>
      <c r="B49" s="7" t="s">
        <v>115</v>
      </c>
      <c r="C49" s="7" t="s">
        <v>146</v>
      </c>
      <c r="D49" s="18">
        <v>24</v>
      </c>
      <c r="E49" s="19">
        <v>67165</v>
      </c>
      <c r="F49" s="17">
        <v>134330</v>
      </c>
      <c r="G49" s="19">
        <v>154300</v>
      </c>
      <c r="H49" s="17">
        <v>288630</v>
      </c>
    </row>
    <row r="50" spans="1:8" x14ac:dyDescent="0.3">
      <c r="A50" s="13">
        <v>45382</v>
      </c>
      <c r="B50" s="7" t="s">
        <v>116</v>
      </c>
      <c r="C50" s="7" t="s">
        <v>143</v>
      </c>
      <c r="D50" s="18">
        <v>40</v>
      </c>
      <c r="E50" s="19">
        <v>98936</v>
      </c>
      <c r="F50" s="17">
        <v>329786.66666666669</v>
      </c>
      <c r="G50" s="19">
        <v>408909</v>
      </c>
      <c r="H50" s="17">
        <v>738695.66666666674</v>
      </c>
    </row>
    <row r="51" spans="1:8" x14ac:dyDescent="0.3">
      <c r="A51" s="13">
        <v>45382</v>
      </c>
      <c r="B51" s="7" t="s">
        <v>116</v>
      </c>
      <c r="C51" s="7" t="s">
        <v>144</v>
      </c>
      <c r="D51" s="18">
        <v>27</v>
      </c>
      <c r="E51" s="19">
        <v>126295</v>
      </c>
      <c r="F51" s="17">
        <v>284163.75</v>
      </c>
      <c r="G51" s="19">
        <v>163780</v>
      </c>
      <c r="H51" s="17">
        <v>447943.75</v>
      </c>
    </row>
    <row r="52" spans="1:8" x14ac:dyDescent="0.3">
      <c r="A52" s="13">
        <v>45382</v>
      </c>
      <c r="B52" s="7" t="s">
        <v>116</v>
      </c>
      <c r="C52" s="7" t="s">
        <v>145</v>
      </c>
      <c r="D52" s="18">
        <v>15</v>
      </c>
      <c r="E52" s="19">
        <v>90631</v>
      </c>
      <c r="F52" s="17">
        <v>113288.75</v>
      </c>
      <c r="G52" s="19">
        <v>273782</v>
      </c>
      <c r="H52" s="17">
        <v>387070.75</v>
      </c>
    </row>
    <row r="53" spans="1:8" x14ac:dyDescent="0.3">
      <c r="A53" s="13">
        <v>45382</v>
      </c>
      <c r="B53" s="7" t="s">
        <v>116</v>
      </c>
      <c r="C53" s="7" t="s">
        <v>146</v>
      </c>
      <c r="D53" s="18">
        <v>23</v>
      </c>
      <c r="E53" s="19">
        <v>66874</v>
      </c>
      <c r="F53" s="17">
        <v>128175.1666666667</v>
      </c>
      <c r="G53" s="19">
        <v>159995</v>
      </c>
      <c r="H53" s="17">
        <v>288170.16666666669</v>
      </c>
    </row>
    <row r="54" spans="1:8" x14ac:dyDescent="0.3">
      <c r="A54" s="13">
        <v>45412</v>
      </c>
      <c r="B54" s="7" t="s">
        <v>117</v>
      </c>
      <c r="C54" s="7" t="s">
        <v>143</v>
      </c>
      <c r="D54" s="18">
        <v>41</v>
      </c>
      <c r="E54" s="19">
        <v>99035</v>
      </c>
      <c r="F54" s="17">
        <v>338369.58333333331</v>
      </c>
      <c r="G54" s="19">
        <v>435160</v>
      </c>
      <c r="H54" s="17">
        <v>773529.58333333326</v>
      </c>
    </row>
    <row r="55" spans="1:8" x14ac:dyDescent="0.3">
      <c r="A55" s="13">
        <v>45412</v>
      </c>
      <c r="B55" s="7" t="s">
        <v>117</v>
      </c>
      <c r="C55" s="7" t="s">
        <v>144</v>
      </c>
      <c r="D55" s="18">
        <v>29</v>
      </c>
      <c r="E55" s="19">
        <v>133579</v>
      </c>
      <c r="F55" s="17">
        <v>322815.91666666669</v>
      </c>
      <c r="G55" s="19">
        <v>164498</v>
      </c>
      <c r="H55" s="17">
        <v>487313.91666666669</v>
      </c>
    </row>
    <row r="56" spans="1:8" x14ac:dyDescent="0.3">
      <c r="A56" s="13">
        <v>45412</v>
      </c>
      <c r="B56" s="7" t="s">
        <v>117</v>
      </c>
      <c r="C56" s="7" t="s">
        <v>145</v>
      </c>
      <c r="D56" s="18">
        <v>15</v>
      </c>
      <c r="E56" s="19">
        <v>93885</v>
      </c>
      <c r="F56" s="17">
        <v>117356.25</v>
      </c>
      <c r="G56" s="19">
        <v>258275</v>
      </c>
      <c r="H56" s="17">
        <v>375631.25</v>
      </c>
    </row>
    <row r="57" spans="1:8" x14ac:dyDescent="0.3">
      <c r="A57" s="13">
        <v>45412</v>
      </c>
      <c r="B57" s="7" t="s">
        <v>117</v>
      </c>
      <c r="C57" s="7" t="s">
        <v>146</v>
      </c>
      <c r="D57" s="18">
        <v>25</v>
      </c>
      <c r="E57" s="19">
        <v>65283</v>
      </c>
      <c r="F57" s="17">
        <v>136006.25</v>
      </c>
      <c r="G57" s="19">
        <v>138582</v>
      </c>
      <c r="H57" s="17">
        <v>274588.25</v>
      </c>
    </row>
    <row r="58" spans="1:8" x14ac:dyDescent="0.3">
      <c r="A58" s="13">
        <v>45443</v>
      </c>
      <c r="B58" s="7" t="s">
        <v>118</v>
      </c>
      <c r="C58" s="7" t="s">
        <v>143</v>
      </c>
      <c r="D58" s="18">
        <v>40</v>
      </c>
      <c r="E58" s="19">
        <v>98988</v>
      </c>
      <c r="F58" s="17">
        <v>329960</v>
      </c>
      <c r="G58" s="19">
        <v>396212</v>
      </c>
      <c r="H58" s="17">
        <v>726172</v>
      </c>
    </row>
    <row r="59" spans="1:8" x14ac:dyDescent="0.3">
      <c r="A59" s="13">
        <v>45443</v>
      </c>
      <c r="B59" s="7" t="s">
        <v>118</v>
      </c>
      <c r="C59" s="7" t="s">
        <v>144</v>
      </c>
      <c r="D59" s="18">
        <v>29</v>
      </c>
      <c r="E59" s="19">
        <v>129085</v>
      </c>
      <c r="F59" s="17">
        <v>311955.41666666669</v>
      </c>
      <c r="G59" s="19">
        <v>179255</v>
      </c>
      <c r="H59" s="17">
        <v>491210.41666666669</v>
      </c>
    </row>
    <row r="60" spans="1:8" x14ac:dyDescent="0.3">
      <c r="A60" s="13">
        <v>45443</v>
      </c>
      <c r="B60" s="7" t="s">
        <v>118</v>
      </c>
      <c r="C60" s="7" t="s">
        <v>145</v>
      </c>
      <c r="D60" s="18">
        <v>15</v>
      </c>
      <c r="E60" s="19">
        <v>92826</v>
      </c>
      <c r="F60" s="17">
        <v>116032.5</v>
      </c>
      <c r="G60" s="19">
        <v>245800</v>
      </c>
      <c r="H60" s="17">
        <v>361832.5</v>
      </c>
    </row>
    <row r="61" spans="1:8" x14ac:dyDescent="0.3">
      <c r="A61" s="13">
        <v>45443</v>
      </c>
      <c r="B61" s="7" t="s">
        <v>118</v>
      </c>
      <c r="C61" s="7" t="s">
        <v>146</v>
      </c>
      <c r="D61" s="18">
        <v>26</v>
      </c>
      <c r="E61" s="19">
        <v>66820</v>
      </c>
      <c r="F61" s="17">
        <v>144776.66666666669</v>
      </c>
      <c r="G61" s="19">
        <v>119260</v>
      </c>
      <c r="H61" s="17">
        <v>264036.66666666663</v>
      </c>
    </row>
    <row r="62" spans="1:8" x14ac:dyDescent="0.3">
      <c r="A62" s="13">
        <v>45473</v>
      </c>
      <c r="B62" s="7" t="s">
        <v>119</v>
      </c>
      <c r="C62" s="7" t="s">
        <v>143</v>
      </c>
      <c r="D62" s="18">
        <v>41</v>
      </c>
      <c r="E62" s="19">
        <v>96751</v>
      </c>
      <c r="F62" s="17">
        <v>330565.91666666669</v>
      </c>
      <c r="G62" s="19">
        <v>464846</v>
      </c>
      <c r="H62" s="17">
        <v>795411.91666666674</v>
      </c>
    </row>
    <row r="63" spans="1:8" x14ac:dyDescent="0.3">
      <c r="A63" s="13">
        <v>45473</v>
      </c>
      <c r="B63" s="7" t="s">
        <v>119</v>
      </c>
      <c r="C63" s="7" t="s">
        <v>144</v>
      </c>
      <c r="D63" s="18">
        <v>30</v>
      </c>
      <c r="E63" s="19">
        <v>130547</v>
      </c>
      <c r="F63" s="17">
        <v>326367.5</v>
      </c>
      <c r="G63" s="19">
        <v>181338</v>
      </c>
      <c r="H63" s="17">
        <v>507705.5</v>
      </c>
    </row>
    <row r="64" spans="1:8" x14ac:dyDescent="0.3">
      <c r="A64" s="13">
        <v>45473</v>
      </c>
      <c r="B64" s="7" t="s">
        <v>119</v>
      </c>
      <c r="C64" s="7" t="s">
        <v>145</v>
      </c>
      <c r="D64" s="18">
        <v>15</v>
      </c>
      <c r="E64" s="19">
        <v>92915</v>
      </c>
      <c r="F64" s="17">
        <v>116143.75</v>
      </c>
      <c r="G64" s="19">
        <v>268169</v>
      </c>
      <c r="H64" s="17">
        <v>384312.75</v>
      </c>
    </row>
    <row r="65" spans="1:8" x14ac:dyDescent="0.3">
      <c r="A65" s="13">
        <v>45473</v>
      </c>
      <c r="B65" s="7" t="s">
        <v>119</v>
      </c>
      <c r="C65" s="7" t="s">
        <v>146</v>
      </c>
      <c r="D65" s="18">
        <v>24</v>
      </c>
      <c r="E65" s="19">
        <v>67821</v>
      </c>
      <c r="F65" s="17">
        <v>135642</v>
      </c>
      <c r="G65" s="19">
        <v>151158</v>
      </c>
      <c r="H65" s="17">
        <v>286800</v>
      </c>
    </row>
    <row r="66" spans="1:8" x14ac:dyDescent="0.3">
      <c r="A66" s="13">
        <v>45504</v>
      </c>
      <c r="B66" s="7" t="s">
        <v>120</v>
      </c>
      <c r="C66" s="7" t="s">
        <v>143</v>
      </c>
      <c r="D66" s="18">
        <v>42</v>
      </c>
      <c r="E66" s="19">
        <v>100184</v>
      </c>
      <c r="F66" s="17">
        <v>350644</v>
      </c>
      <c r="G66" s="19">
        <v>447195</v>
      </c>
      <c r="H66" s="17">
        <v>797839</v>
      </c>
    </row>
    <row r="67" spans="1:8" x14ac:dyDescent="0.3">
      <c r="A67" s="13">
        <v>45504</v>
      </c>
      <c r="B67" s="7" t="s">
        <v>120</v>
      </c>
      <c r="C67" s="7" t="s">
        <v>144</v>
      </c>
      <c r="D67" s="18">
        <v>30</v>
      </c>
      <c r="E67" s="19">
        <v>132415</v>
      </c>
      <c r="F67" s="17">
        <v>331037.5</v>
      </c>
      <c r="G67" s="19">
        <v>177370</v>
      </c>
      <c r="H67" s="17">
        <v>508407.5</v>
      </c>
    </row>
    <row r="68" spans="1:8" x14ac:dyDescent="0.3">
      <c r="A68" s="13">
        <v>45504</v>
      </c>
      <c r="B68" s="7" t="s">
        <v>120</v>
      </c>
      <c r="C68" s="7" t="s">
        <v>145</v>
      </c>
      <c r="D68" s="18">
        <v>14</v>
      </c>
      <c r="E68" s="19">
        <v>92002</v>
      </c>
      <c r="F68" s="17">
        <v>107335.6666666667</v>
      </c>
      <c r="G68" s="19">
        <v>274557</v>
      </c>
      <c r="H68" s="17">
        <v>381892.66666666669</v>
      </c>
    </row>
    <row r="69" spans="1:8" x14ac:dyDescent="0.3">
      <c r="A69" s="13">
        <v>45504</v>
      </c>
      <c r="B69" s="7" t="s">
        <v>120</v>
      </c>
      <c r="C69" s="7" t="s">
        <v>146</v>
      </c>
      <c r="D69" s="18">
        <v>23</v>
      </c>
      <c r="E69" s="19">
        <v>68118</v>
      </c>
      <c r="F69" s="17">
        <v>130559.5</v>
      </c>
      <c r="G69" s="19">
        <v>144433</v>
      </c>
      <c r="H69" s="17">
        <v>274992.5</v>
      </c>
    </row>
    <row r="70" spans="1:8" x14ac:dyDescent="0.3">
      <c r="A70" s="13">
        <v>45535</v>
      </c>
      <c r="B70" s="7" t="s">
        <v>121</v>
      </c>
      <c r="C70" s="7" t="s">
        <v>143</v>
      </c>
      <c r="D70" s="18">
        <v>43</v>
      </c>
      <c r="E70" s="19">
        <v>98120</v>
      </c>
      <c r="F70" s="17">
        <v>351596.66666666669</v>
      </c>
      <c r="G70" s="19">
        <v>431084</v>
      </c>
      <c r="H70" s="17">
        <v>782680.66666666674</v>
      </c>
    </row>
    <row r="71" spans="1:8" x14ac:dyDescent="0.3">
      <c r="A71" s="13">
        <v>45535</v>
      </c>
      <c r="B71" s="7" t="s">
        <v>121</v>
      </c>
      <c r="C71" s="7" t="s">
        <v>144</v>
      </c>
      <c r="D71" s="18">
        <v>31</v>
      </c>
      <c r="E71" s="19">
        <v>133126</v>
      </c>
      <c r="F71" s="17">
        <v>343908.83333333331</v>
      </c>
      <c r="G71" s="19">
        <v>177586</v>
      </c>
      <c r="H71" s="17">
        <v>521494.83333333331</v>
      </c>
    </row>
    <row r="72" spans="1:8" x14ac:dyDescent="0.3">
      <c r="A72" s="13">
        <v>45535</v>
      </c>
      <c r="B72" s="7" t="s">
        <v>121</v>
      </c>
      <c r="C72" s="7" t="s">
        <v>145</v>
      </c>
      <c r="D72" s="18">
        <v>15</v>
      </c>
      <c r="E72" s="19">
        <v>94317</v>
      </c>
      <c r="F72" s="17">
        <v>117896.25</v>
      </c>
      <c r="G72" s="19">
        <v>279383</v>
      </c>
      <c r="H72" s="17">
        <v>397279.25</v>
      </c>
    </row>
    <row r="73" spans="1:8" x14ac:dyDescent="0.3">
      <c r="A73" s="13">
        <v>45535</v>
      </c>
      <c r="B73" s="7" t="s">
        <v>121</v>
      </c>
      <c r="C73" s="7" t="s">
        <v>146</v>
      </c>
      <c r="D73" s="18">
        <v>24</v>
      </c>
      <c r="E73" s="19">
        <v>69122</v>
      </c>
      <c r="F73" s="17">
        <v>138244</v>
      </c>
      <c r="G73" s="19">
        <v>123988</v>
      </c>
      <c r="H73" s="17">
        <v>262232</v>
      </c>
    </row>
    <row r="74" spans="1:8" x14ac:dyDescent="0.3">
      <c r="A74" s="13">
        <v>45565</v>
      </c>
      <c r="B74" s="7" t="s">
        <v>122</v>
      </c>
      <c r="C74" s="7" t="s">
        <v>143</v>
      </c>
      <c r="D74" s="18">
        <v>42</v>
      </c>
      <c r="E74" s="19">
        <v>100035</v>
      </c>
      <c r="F74" s="17">
        <v>350122.5</v>
      </c>
      <c r="G74" s="19">
        <v>455376</v>
      </c>
      <c r="H74" s="17">
        <v>805498.5</v>
      </c>
    </row>
    <row r="75" spans="1:8" x14ac:dyDescent="0.3">
      <c r="A75" s="13">
        <v>45565</v>
      </c>
      <c r="B75" s="7" t="s">
        <v>122</v>
      </c>
      <c r="C75" s="7" t="s">
        <v>144</v>
      </c>
      <c r="D75" s="18">
        <v>31</v>
      </c>
      <c r="E75" s="19">
        <v>133096</v>
      </c>
      <c r="F75" s="17">
        <v>343831.33333333331</v>
      </c>
      <c r="G75" s="19">
        <v>183974</v>
      </c>
      <c r="H75" s="17">
        <v>527805.33333333326</v>
      </c>
    </row>
    <row r="76" spans="1:8" x14ac:dyDescent="0.3">
      <c r="A76" s="13">
        <v>45565</v>
      </c>
      <c r="B76" s="7" t="s">
        <v>122</v>
      </c>
      <c r="C76" s="7" t="s">
        <v>145</v>
      </c>
      <c r="D76" s="18">
        <v>15</v>
      </c>
      <c r="E76" s="19">
        <v>93129</v>
      </c>
      <c r="F76" s="17">
        <v>116411.25</v>
      </c>
      <c r="G76" s="19">
        <v>292205</v>
      </c>
      <c r="H76" s="17">
        <v>408616.25</v>
      </c>
    </row>
    <row r="77" spans="1:8" x14ac:dyDescent="0.3">
      <c r="A77" s="13">
        <v>45565</v>
      </c>
      <c r="B77" s="7" t="s">
        <v>122</v>
      </c>
      <c r="C77" s="7" t="s">
        <v>146</v>
      </c>
      <c r="D77" s="18">
        <v>25</v>
      </c>
      <c r="E77" s="19">
        <v>69227</v>
      </c>
      <c r="F77" s="17">
        <v>144222.91666666669</v>
      </c>
      <c r="G77" s="19">
        <v>147675</v>
      </c>
      <c r="H77" s="17">
        <v>291897.91666666663</v>
      </c>
    </row>
    <row r="78" spans="1:8" x14ac:dyDescent="0.3">
      <c r="A78" s="13">
        <v>45596</v>
      </c>
      <c r="B78" s="7" t="s">
        <v>123</v>
      </c>
      <c r="C78" s="7" t="s">
        <v>143</v>
      </c>
      <c r="D78" s="18">
        <v>42</v>
      </c>
      <c r="E78" s="19">
        <v>97331</v>
      </c>
      <c r="F78" s="17">
        <v>340658.5</v>
      </c>
      <c r="G78" s="19">
        <v>532589</v>
      </c>
      <c r="H78" s="17">
        <v>873247.5</v>
      </c>
    </row>
    <row r="79" spans="1:8" x14ac:dyDescent="0.3">
      <c r="A79" s="13">
        <v>45596</v>
      </c>
      <c r="B79" s="7" t="s">
        <v>123</v>
      </c>
      <c r="C79" s="7" t="s">
        <v>144</v>
      </c>
      <c r="D79" s="18">
        <v>29</v>
      </c>
      <c r="E79" s="19">
        <v>129514</v>
      </c>
      <c r="F79" s="17">
        <v>312992.16666666669</v>
      </c>
      <c r="G79" s="19">
        <v>170765</v>
      </c>
      <c r="H79" s="17">
        <v>483757.16666666669</v>
      </c>
    </row>
    <row r="80" spans="1:8" x14ac:dyDescent="0.3">
      <c r="A80" s="13">
        <v>45596</v>
      </c>
      <c r="B80" s="7" t="s">
        <v>123</v>
      </c>
      <c r="C80" s="7" t="s">
        <v>145</v>
      </c>
      <c r="D80" s="18">
        <v>15</v>
      </c>
      <c r="E80" s="19">
        <v>94333</v>
      </c>
      <c r="F80" s="17">
        <v>117916.25</v>
      </c>
      <c r="G80" s="19">
        <v>278600</v>
      </c>
      <c r="H80" s="17">
        <v>396516.25</v>
      </c>
    </row>
    <row r="81" spans="1:8" x14ac:dyDescent="0.3">
      <c r="A81" s="13">
        <v>45596</v>
      </c>
      <c r="B81" s="7" t="s">
        <v>123</v>
      </c>
      <c r="C81" s="7" t="s">
        <v>146</v>
      </c>
      <c r="D81" s="18">
        <v>24</v>
      </c>
      <c r="E81" s="19">
        <v>69251</v>
      </c>
      <c r="F81" s="17">
        <v>138502</v>
      </c>
      <c r="G81" s="19">
        <v>144357</v>
      </c>
      <c r="H81" s="17">
        <v>282859</v>
      </c>
    </row>
    <row r="82" spans="1:8" x14ac:dyDescent="0.3">
      <c r="A82" s="13">
        <v>45626</v>
      </c>
      <c r="B82" s="7" t="s">
        <v>124</v>
      </c>
      <c r="C82" s="7" t="s">
        <v>143</v>
      </c>
      <c r="D82" s="18">
        <v>42</v>
      </c>
      <c r="E82" s="19">
        <v>100204</v>
      </c>
      <c r="F82" s="17">
        <v>350714</v>
      </c>
      <c r="G82" s="19">
        <v>602815</v>
      </c>
      <c r="H82" s="17">
        <v>953529</v>
      </c>
    </row>
    <row r="83" spans="1:8" x14ac:dyDescent="0.3">
      <c r="A83" s="13">
        <v>45626</v>
      </c>
      <c r="B83" s="7" t="s">
        <v>124</v>
      </c>
      <c r="C83" s="7" t="s">
        <v>144</v>
      </c>
      <c r="D83" s="18">
        <v>31</v>
      </c>
      <c r="E83" s="19">
        <v>130685</v>
      </c>
      <c r="F83" s="17">
        <v>337602.91666666669</v>
      </c>
      <c r="G83" s="19">
        <v>166095</v>
      </c>
      <c r="H83" s="17">
        <v>503697.91666666669</v>
      </c>
    </row>
    <row r="84" spans="1:8" x14ac:dyDescent="0.3">
      <c r="A84" s="13">
        <v>45626</v>
      </c>
      <c r="B84" s="7" t="s">
        <v>124</v>
      </c>
      <c r="C84" s="7" t="s">
        <v>145</v>
      </c>
      <c r="D84" s="18">
        <v>15</v>
      </c>
      <c r="E84" s="19">
        <v>94942</v>
      </c>
      <c r="F84" s="17">
        <v>118677.5</v>
      </c>
      <c r="G84" s="19">
        <v>264839</v>
      </c>
      <c r="H84" s="17">
        <v>383516.5</v>
      </c>
    </row>
    <row r="85" spans="1:8" x14ac:dyDescent="0.3">
      <c r="A85" s="13">
        <v>45626</v>
      </c>
      <c r="B85" s="7" t="s">
        <v>124</v>
      </c>
      <c r="C85" s="7" t="s">
        <v>146</v>
      </c>
      <c r="D85" s="18">
        <v>23</v>
      </c>
      <c r="E85" s="19">
        <v>67457</v>
      </c>
      <c r="F85" s="17">
        <v>129292.5833333333</v>
      </c>
      <c r="G85" s="19">
        <v>174151</v>
      </c>
      <c r="H85" s="17">
        <v>303443.58333333331</v>
      </c>
    </row>
    <row r="86" spans="1:8" x14ac:dyDescent="0.3">
      <c r="A86" s="13">
        <v>45657</v>
      </c>
      <c r="B86" s="7" t="s">
        <v>125</v>
      </c>
      <c r="C86" s="7" t="s">
        <v>143</v>
      </c>
      <c r="D86" s="18">
        <v>45</v>
      </c>
      <c r="E86" s="19">
        <v>98783</v>
      </c>
      <c r="F86" s="17">
        <v>370436.25</v>
      </c>
      <c r="G86" s="19">
        <v>550389</v>
      </c>
      <c r="H86" s="17">
        <v>920825.25</v>
      </c>
    </row>
    <row r="87" spans="1:8" x14ac:dyDescent="0.3">
      <c r="A87" s="13">
        <v>45657</v>
      </c>
      <c r="B87" s="7" t="s">
        <v>125</v>
      </c>
      <c r="C87" s="7" t="s">
        <v>144</v>
      </c>
      <c r="D87" s="18">
        <v>30</v>
      </c>
      <c r="E87" s="19">
        <v>134504</v>
      </c>
      <c r="F87" s="17">
        <v>336260</v>
      </c>
      <c r="G87" s="19">
        <v>193412</v>
      </c>
      <c r="H87" s="17">
        <v>529672</v>
      </c>
    </row>
    <row r="88" spans="1:8" x14ac:dyDescent="0.3">
      <c r="A88" s="13">
        <v>45657</v>
      </c>
      <c r="B88" s="7" t="s">
        <v>125</v>
      </c>
      <c r="C88" s="7" t="s">
        <v>145</v>
      </c>
      <c r="D88" s="18">
        <v>15</v>
      </c>
      <c r="E88" s="19">
        <v>92405</v>
      </c>
      <c r="F88" s="17">
        <v>115506.25</v>
      </c>
      <c r="G88" s="19">
        <v>288850</v>
      </c>
      <c r="H88" s="17">
        <v>404356.25</v>
      </c>
    </row>
    <row r="89" spans="1:8" x14ac:dyDescent="0.3">
      <c r="A89" s="13">
        <v>45657</v>
      </c>
      <c r="B89" s="7" t="s">
        <v>125</v>
      </c>
      <c r="C89" s="7" t="s">
        <v>146</v>
      </c>
      <c r="D89" s="18">
        <v>24</v>
      </c>
      <c r="E89" s="19">
        <v>69375</v>
      </c>
      <c r="F89" s="17">
        <v>138750</v>
      </c>
      <c r="G89" s="19">
        <v>167835</v>
      </c>
      <c r="H89" s="17">
        <v>306585</v>
      </c>
    </row>
    <row r="90" spans="1:8" x14ac:dyDescent="0.3">
      <c r="A90" s="13">
        <v>45688</v>
      </c>
      <c r="B90" s="7" t="s">
        <v>126</v>
      </c>
      <c r="C90" s="7" t="s">
        <v>143</v>
      </c>
      <c r="D90" s="18">
        <v>43</v>
      </c>
      <c r="E90" s="19">
        <v>99460</v>
      </c>
      <c r="F90" s="17">
        <v>356398.33333333331</v>
      </c>
      <c r="G90" s="19">
        <v>494963</v>
      </c>
      <c r="H90" s="17">
        <v>851361.33333333326</v>
      </c>
    </row>
    <row r="91" spans="1:8" x14ac:dyDescent="0.3">
      <c r="A91" s="13">
        <v>45688</v>
      </c>
      <c r="B91" s="7" t="s">
        <v>126</v>
      </c>
      <c r="C91" s="7" t="s">
        <v>144</v>
      </c>
      <c r="D91" s="18">
        <v>31</v>
      </c>
      <c r="E91" s="19">
        <v>130330</v>
      </c>
      <c r="F91" s="17">
        <v>336685.83333333331</v>
      </c>
      <c r="G91" s="19">
        <v>176166</v>
      </c>
      <c r="H91" s="17">
        <v>512851.83333333331</v>
      </c>
    </row>
    <row r="92" spans="1:8" x14ac:dyDescent="0.3">
      <c r="A92" s="13">
        <v>45688</v>
      </c>
      <c r="B92" s="7" t="s">
        <v>126</v>
      </c>
      <c r="C92" s="7" t="s">
        <v>145</v>
      </c>
      <c r="D92" s="18">
        <v>14</v>
      </c>
      <c r="E92" s="19">
        <v>94354</v>
      </c>
      <c r="F92" s="17">
        <v>110079.6666666667</v>
      </c>
      <c r="G92" s="19">
        <v>298913</v>
      </c>
      <c r="H92" s="17">
        <v>408992.66666666669</v>
      </c>
    </row>
    <row r="93" spans="1:8" x14ac:dyDescent="0.3">
      <c r="A93" s="13">
        <v>45688</v>
      </c>
      <c r="B93" s="7" t="s">
        <v>126</v>
      </c>
      <c r="C93" s="7" t="s">
        <v>146</v>
      </c>
      <c r="D93" s="18">
        <v>25</v>
      </c>
      <c r="E93" s="19">
        <v>68125</v>
      </c>
      <c r="F93" s="17">
        <v>141927.08333333331</v>
      </c>
      <c r="G93" s="19">
        <v>157429</v>
      </c>
      <c r="H93" s="17">
        <v>299356.08333333337</v>
      </c>
    </row>
    <row r="94" spans="1:8" x14ac:dyDescent="0.3">
      <c r="A94" s="13">
        <v>45716</v>
      </c>
      <c r="B94" s="7" t="s">
        <v>127</v>
      </c>
      <c r="C94" s="7" t="s">
        <v>143</v>
      </c>
      <c r="D94" s="18">
        <v>43</v>
      </c>
      <c r="E94" s="19">
        <v>100759</v>
      </c>
      <c r="F94" s="17">
        <v>361053.08333333331</v>
      </c>
      <c r="G94" s="19">
        <v>460355</v>
      </c>
      <c r="H94" s="17">
        <v>821408.08333333326</v>
      </c>
    </row>
    <row r="95" spans="1:8" x14ac:dyDescent="0.3">
      <c r="A95" s="13">
        <v>45716</v>
      </c>
      <c r="B95" s="7" t="s">
        <v>127</v>
      </c>
      <c r="C95" s="7" t="s">
        <v>144</v>
      </c>
      <c r="D95" s="18">
        <v>32</v>
      </c>
      <c r="E95" s="19">
        <v>129257</v>
      </c>
      <c r="F95" s="17">
        <v>344685.33333333331</v>
      </c>
      <c r="G95" s="19">
        <v>177673</v>
      </c>
      <c r="H95" s="17">
        <v>522358.33333333331</v>
      </c>
    </row>
    <row r="96" spans="1:8" x14ac:dyDescent="0.3">
      <c r="A96" s="13">
        <v>45716</v>
      </c>
      <c r="B96" s="7" t="s">
        <v>127</v>
      </c>
      <c r="C96" s="7" t="s">
        <v>145</v>
      </c>
      <c r="D96" s="18">
        <v>14</v>
      </c>
      <c r="E96" s="19">
        <v>94949</v>
      </c>
      <c r="F96" s="17">
        <v>110773.8333333333</v>
      </c>
      <c r="G96" s="19">
        <v>302056</v>
      </c>
      <c r="H96" s="17">
        <v>412829.83333333331</v>
      </c>
    </row>
    <row r="97" spans="1:8" x14ac:dyDescent="0.3">
      <c r="A97" s="13">
        <v>45716</v>
      </c>
      <c r="B97" s="7" t="s">
        <v>127</v>
      </c>
      <c r="C97" s="7" t="s">
        <v>146</v>
      </c>
      <c r="D97" s="18">
        <v>24</v>
      </c>
      <c r="E97" s="19">
        <v>68315</v>
      </c>
      <c r="F97" s="17">
        <v>136630</v>
      </c>
      <c r="G97" s="19">
        <v>158616</v>
      </c>
      <c r="H97" s="17">
        <v>295246</v>
      </c>
    </row>
    <row r="98" spans="1:8" x14ac:dyDescent="0.3">
      <c r="A98" s="13">
        <v>45747</v>
      </c>
      <c r="B98" s="7" t="s">
        <v>128</v>
      </c>
      <c r="C98" s="7" t="s">
        <v>143</v>
      </c>
      <c r="D98" s="18">
        <v>45</v>
      </c>
      <c r="E98" s="19">
        <v>100733</v>
      </c>
      <c r="F98" s="17">
        <v>377748.75</v>
      </c>
      <c r="G98" s="19">
        <v>470365</v>
      </c>
      <c r="H98" s="17">
        <v>848113.75</v>
      </c>
    </row>
    <row r="99" spans="1:8" x14ac:dyDescent="0.3">
      <c r="A99" s="13">
        <v>45747</v>
      </c>
      <c r="B99" s="7" t="s">
        <v>128</v>
      </c>
      <c r="C99" s="7" t="s">
        <v>144</v>
      </c>
      <c r="D99" s="18">
        <v>30</v>
      </c>
      <c r="E99" s="19">
        <v>135463</v>
      </c>
      <c r="F99" s="17">
        <v>338657.5</v>
      </c>
      <c r="G99" s="19">
        <v>223968</v>
      </c>
      <c r="H99" s="17">
        <v>562625.5</v>
      </c>
    </row>
    <row r="100" spans="1:8" x14ac:dyDescent="0.3">
      <c r="A100" s="13">
        <v>45747</v>
      </c>
      <c r="B100" s="7" t="s">
        <v>128</v>
      </c>
      <c r="C100" s="7" t="s">
        <v>145</v>
      </c>
      <c r="D100" s="18">
        <v>15</v>
      </c>
      <c r="E100" s="19">
        <v>92571</v>
      </c>
      <c r="F100" s="17">
        <v>115713.75</v>
      </c>
      <c r="G100" s="19">
        <v>263729</v>
      </c>
      <c r="H100" s="17">
        <v>379442.75</v>
      </c>
    </row>
    <row r="101" spans="1:8" x14ac:dyDescent="0.3">
      <c r="A101" s="13">
        <v>45747</v>
      </c>
      <c r="B101" s="7" t="s">
        <v>128</v>
      </c>
      <c r="C101" s="7" t="s">
        <v>146</v>
      </c>
      <c r="D101" s="18">
        <v>25</v>
      </c>
      <c r="E101" s="19">
        <v>68578</v>
      </c>
      <c r="F101" s="17">
        <v>142870.83333333331</v>
      </c>
      <c r="G101" s="19">
        <v>163775</v>
      </c>
      <c r="H101" s="17">
        <v>306645.83333333337</v>
      </c>
    </row>
    <row r="102" spans="1:8" x14ac:dyDescent="0.3">
      <c r="A102" s="13">
        <v>45777</v>
      </c>
      <c r="B102" s="7" t="s">
        <v>129</v>
      </c>
      <c r="C102" s="7" t="s">
        <v>143</v>
      </c>
      <c r="D102" s="18">
        <v>45</v>
      </c>
      <c r="E102" s="19">
        <v>100048</v>
      </c>
      <c r="F102" s="17">
        <v>375180</v>
      </c>
      <c r="G102" s="19">
        <v>448207</v>
      </c>
      <c r="H102" s="17">
        <v>823387</v>
      </c>
    </row>
    <row r="103" spans="1:8" x14ac:dyDescent="0.3">
      <c r="A103" s="13">
        <v>45777</v>
      </c>
      <c r="B103" s="7" t="s">
        <v>129</v>
      </c>
      <c r="C103" s="7" t="s">
        <v>144</v>
      </c>
      <c r="D103" s="18">
        <v>31</v>
      </c>
      <c r="E103" s="19">
        <v>132687</v>
      </c>
      <c r="F103" s="17">
        <v>342774.75</v>
      </c>
      <c r="G103" s="19">
        <v>183094</v>
      </c>
      <c r="H103" s="17">
        <v>525868.75</v>
      </c>
    </row>
    <row r="104" spans="1:8" x14ac:dyDescent="0.3">
      <c r="A104" s="13">
        <v>45777</v>
      </c>
      <c r="B104" s="7" t="s">
        <v>129</v>
      </c>
      <c r="C104" s="7" t="s">
        <v>145</v>
      </c>
      <c r="D104" s="18">
        <v>16</v>
      </c>
      <c r="E104" s="19">
        <v>98838</v>
      </c>
      <c r="F104" s="17">
        <v>131784</v>
      </c>
      <c r="G104" s="19">
        <v>245061</v>
      </c>
      <c r="H104" s="17">
        <v>376845</v>
      </c>
    </row>
    <row r="105" spans="1:8" x14ac:dyDescent="0.3">
      <c r="A105" s="13">
        <v>45777</v>
      </c>
      <c r="B105" s="7" t="s">
        <v>129</v>
      </c>
      <c r="C105" s="7" t="s">
        <v>146</v>
      </c>
      <c r="D105" s="18">
        <v>23</v>
      </c>
      <c r="E105" s="19">
        <v>68932</v>
      </c>
      <c r="F105" s="17">
        <v>132119.66666666669</v>
      </c>
      <c r="G105" s="19">
        <v>130916</v>
      </c>
      <c r="H105" s="17">
        <v>263035.66666666663</v>
      </c>
    </row>
    <row r="106" spans="1:8" x14ac:dyDescent="0.3">
      <c r="A106" s="13">
        <v>45808</v>
      </c>
      <c r="B106" s="7" t="s">
        <v>130</v>
      </c>
      <c r="C106" s="7" t="s">
        <v>143</v>
      </c>
      <c r="D106" s="18">
        <v>44</v>
      </c>
      <c r="E106" s="19">
        <v>102511</v>
      </c>
      <c r="F106" s="17">
        <v>375873.66666666669</v>
      </c>
      <c r="G106" s="19">
        <v>501741</v>
      </c>
      <c r="H106" s="17">
        <v>877614.66666666674</v>
      </c>
    </row>
    <row r="107" spans="1:8" x14ac:dyDescent="0.3">
      <c r="A107" s="13">
        <v>45808</v>
      </c>
      <c r="B107" s="7" t="s">
        <v>130</v>
      </c>
      <c r="C107" s="7" t="s">
        <v>144</v>
      </c>
      <c r="D107" s="18">
        <v>32</v>
      </c>
      <c r="E107" s="19">
        <v>132998</v>
      </c>
      <c r="F107" s="17">
        <v>354661.33333333331</v>
      </c>
      <c r="G107" s="19">
        <v>161673</v>
      </c>
      <c r="H107" s="17">
        <v>516334.33333333331</v>
      </c>
    </row>
    <row r="108" spans="1:8" x14ac:dyDescent="0.3">
      <c r="A108" s="13">
        <v>45808</v>
      </c>
      <c r="B108" s="7" t="s">
        <v>130</v>
      </c>
      <c r="C108" s="7" t="s">
        <v>145</v>
      </c>
      <c r="D108" s="18">
        <v>15</v>
      </c>
      <c r="E108" s="19">
        <v>96139</v>
      </c>
      <c r="F108" s="17">
        <v>120173.75</v>
      </c>
      <c r="G108" s="19">
        <v>291621</v>
      </c>
      <c r="H108" s="17">
        <v>411794.75</v>
      </c>
    </row>
    <row r="109" spans="1:8" x14ac:dyDescent="0.3">
      <c r="A109" s="13">
        <v>45808</v>
      </c>
      <c r="B109" s="7" t="s">
        <v>130</v>
      </c>
      <c r="C109" s="7" t="s">
        <v>146</v>
      </c>
      <c r="D109" s="18">
        <v>25</v>
      </c>
      <c r="E109" s="19">
        <v>68907</v>
      </c>
      <c r="F109" s="17">
        <v>143556.25</v>
      </c>
      <c r="G109" s="19">
        <v>131726</v>
      </c>
      <c r="H109" s="17">
        <v>275282.25</v>
      </c>
    </row>
    <row r="110" spans="1:8" x14ac:dyDescent="0.3">
      <c r="A110" s="13">
        <v>45838</v>
      </c>
      <c r="B110" s="7" t="s">
        <v>131</v>
      </c>
      <c r="C110" s="7" t="s">
        <v>143</v>
      </c>
      <c r="D110" s="18">
        <v>42</v>
      </c>
      <c r="E110" s="19">
        <v>99936</v>
      </c>
      <c r="F110" s="17">
        <v>349776</v>
      </c>
      <c r="G110" s="19">
        <v>392848</v>
      </c>
      <c r="H110" s="17">
        <v>742624</v>
      </c>
    </row>
    <row r="111" spans="1:8" x14ac:dyDescent="0.3">
      <c r="A111" s="13">
        <v>45838</v>
      </c>
      <c r="B111" s="7" t="s">
        <v>131</v>
      </c>
      <c r="C111" s="7" t="s">
        <v>144</v>
      </c>
      <c r="D111" s="18">
        <v>33</v>
      </c>
      <c r="E111" s="19">
        <v>132678</v>
      </c>
      <c r="F111" s="17">
        <v>364864.5</v>
      </c>
      <c r="G111" s="19">
        <v>184262</v>
      </c>
      <c r="H111" s="17">
        <v>549126.5</v>
      </c>
    </row>
    <row r="112" spans="1:8" x14ac:dyDescent="0.3">
      <c r="A112" s="13">
        <v>45838</v>
      </c>
      <c r="B112" s="7" t="s">
        <v>131</v>
      </c>
      <c r="C112" s="7" t="s">
        <v>145</v>
      </c>
      <c r="D112" s="18">
        <v>15</v>
      </c>
      <c r="E112" s="19">
        <v>91608</v>
      </c>
      <c r="F112" s="17">
        <v>114510</v>
      </c>
      <c r="G112" s="19">
        <v>311693</v>
      </c>
      <c r="H112" s="17">
        <v>426203</v>
      </c>
    </row>
    <row r="113" spans="1:8" x14ac:dyDescent="0.3">
      <c r="A113" s="13">
        <v>45838</v>
      </c>
      <c r="B113" s="7" t="s">
        <v>131</v>
      </c>
      <c r="C113" s="7" t="s">
        <v>146</v>
      </c>
      <c r="D113" s="18">
        <v>24</v>
      </c>
      <c r="E113" s="19">
        <v>69103</v>
      </c>
      <c r="F113" s="17">
        <v>138206</v>
      </c>
      <c r="G113" s="19">
        <v>132332</v>
      </c>
      <c r="H113" s="17">
        <v>270538</v>
      </c>
    </row>
    <row r="114" spans="1:8" x14ac:dyDescent="0.3">
      <c r="A114" s="13">
        <v>45869</v>
      </c>
      <c r="B114" s="7" t="s">
        <v>132</v>
      </c>
      <c r="C114" s="7" t="s">
        <v>143</v>
      </c>
      <c r="D114" s="18">
        <v>46</v>
      </c>
      <c r="E114" s="19">
        <v>102099</v>
      </c>
      <c r="F114" s="17">
        <v>391379.5</v>
      </c>
      <c r="G114" s="19">
        <v>420638</v>
      </c>
      <c r="H114" s="17">
        <v>812017.5</v>
      </c>
    </row>
    <row r="115" spans="1:8" x14ac:dyDescent="0.3">
      <c r="A115" s="13">
        <v>45869</v>
      </c>
      <c r="B115" s="7" t="s">
        <v>132</v>
      </c>
      <c r="C115" s="7" t="s">
        <v>144</v>
      </c>
      <c r="D115" s="18">
        <v>32</v>
      </c>
      <c r="E115" s="19">
        <v>137426</v>
      </c>
      <c r="F115" s="17">
        <v>366469.33333333331</v>
      </c>
      <c r="G115" s="19">
        <v>191908</v>
      </c>
      <c r="H115" s="17">
        <v>558377.33333333326</v>
      </c>
    </row>
    <row r="116" spans="1:8" x14ac:dyDescent="0.3">
      <c r="A116" s="13">
        <v>45869</v>
      </c>
      <c r="B116" s="7" t="s">
        <v>132</v>
      </c>
      <c r="C116" s="7" t="s">
        <v>145</v>
      </c>
      <c r="D116" s="18">
        <v>15</v>
      </c>
      <c r="E116" s="19">
        <v>95154</v>
      </c>
      <c r="F116" s="17">
        <v>118942.5</v>
      </c>
      <c r="G116" s="19">
        <v>236567</v>
      </c>
      <c r="H116" s="17">
        <v>355509.5</v>
      </c>
    </row>
    <row r="117" spans="1:8" x14ac:dyDescent="0.3">
      <c r="A117" s="13">
        <v>45869</v>
      </c>
      <c r="B117" s="7" t="s">
        <v>132</v>
      </c>
      <c r="C117" s="7" t="s">
        <v>146</v>
      </c>
      <c r="D117" s="18">
        <v>25</v>
      </c>
      <c r="E117" s="19">
        <v>70047</v>
      </c>
      <c r="F117" s="17">
        <v>145931.25</v>
      </c>
      <c r="G117" s="19">
        <v>163345</v>
      </c>
      <c r="H117" s="17">
        <v>309276.25</v>
      </c>
    </row>
    <row r="118" spans="1:8" x14ac:dyDescent="0.3">
      <c r="A118" s="13">
        <v>45900</v>
      </c>
      <c r="B118" s="7" t="s">
        <v>133</v>
      </c>
      <c r="C118" s="7" t="s">
        <v>143</v>
      </c>
      <c r="D118" s="18">
        <v>42</v>
      </c>
      <c r="E118" s="19">
        <v>100410</v>
      </c>
      <c r="F118" s="17">
        <v>351435</v>
      </c>
      <c r="G118" s="19">
        <v>430562</v>
      </c>
      <c r="H118" s="17">
        <v>781997</v>
      </c>
    </row>
    <row r="119" spans="1:8" x14ac:dyDescent="0.3">
      <c r="A119" s="13">
        <v>45900</v>
      </c>
      <c r="B119" s="7" t="s">
        <v>133</v>
      </c>
      <c r="C119" s="7" t="s">
        <v>144</v>
      </c>
      <c r="D119" s="18">
        <v>33</v>
      </c>
      <c r="E119" s="19">
        <v>134095</v>
      </c>
      <c r="F119" s="17">
        <v>368761.25</v>
      </c>
      <c r="G119" s="19">
        <v>191633</v>
      </c>
      <c r="H119" s="17">
        <v>560394.25</v>
      </c>
    </row>
    <row r="120" spans="1:8" x14ac:dyDescent="0.3">
      <c r="A120" s="13">
        <v>45900</v>
      </c>
      <c r="B120" s="7" t="s">
        <v>133</v>
      </c>
      <c r="C120" s="7" t="s">
        <v>145</v>
      </c>
      <c r="D120" s="18">
        <v>15</v>
      </c>
      <c r="E120" s="19">
        <v>95448</v>
      </c>
      <c r="F120" s="17">
        <v>119310</v>
      </c>
      <c r="G120" s="19">
        <v>300414</v>
      </c>
      <c r="H120" s="17">
        <v>419724</v>
      </c>
    </row>
    <row r="121" spans="1:8" x14ac:dyDescent="0.3">
      <c r="A121" s="13">
        <v>45900</v>
      </c>
      <c r="B121" s="7" t="s">
        <v>133</v>
      </c>
      <c r="C121" s="7" t="s">
        <v>146</v>
      </c>
      <c r="D121" s="18">
        <v>26</v>
      </c>
      <c r="E121" s="19">
        <v>69546</v>
      </c>
      <c r="F121" s="17">
        <v>150683</v>
      </c>
      <c r="G121" s="19">
        <v>169790</v>
      </c>
      <c r="H121" s="17">
        <v>320473</v>
      </c>
    </row>
    <row r="122" spans="1:8" x14ac:dyDescent="0.3">
      <c r="A122" s="13">
        <v>45930</v>
      </c>
      <c r="B122" s="7" t="s">
        <v>134</v>
      </c>
      <c r="C122" s="7" t="s">
        <v>143</v>
      </c>
      <c r="D122" s="18">
        <v>48</v>
      </c>
      <c r="E122" s="19">
        <v>103822</v>
      </c>
      <c r="F122" s="17">
        <v>415288</v>
      </c>
      <c r="G122" s="19">
        <v>343356</v>
      </c>
      <c r="H122" s="17">
        <v>758644</v>
      </c>
    </row>
    <row r="123" spans="1:8" x14ac:dyDescent="0.3">
      <c r="A123" s="13">
        <v>45930</v>
      </c>
      <c r="B123" s="7" t="s">
        <v>134</v>
      </c>
      <c r="C123" s="7" t="s">
        <v>144</v>
      </c>
      <c r="D123" s="18">
        <v>35</v>
      </c>
      <c r="E123" s="19">
        <v>136329</v>
      </c>
      <c r="F123" s="17">
        <v>397626.25</v>
      </c>
      <c r="G123" s="19">
        <v>225141</v>
      </c>
      <c r="H123" s="17">
        <v>622767.25</v>
      </c>
    </row>
    <row r="124" spans="1:8" x14ac:dyDescent="0.3">
      <c r="A124" s="13">
        <v>45930</v>
      </c>
      <c r="B124" s="7" t="s">
        <v>134</v>
      </c>
      <c r="C124" s="7" t="s">
        <v>145</v>
      </c>
      <c r="D124" s="18">
        <v>16</v>
      </c>
      <c r="E124" s="19">
        <v>99297</v>
      </c>
      <c r="F124" s="17">
        <v>132396</v>
      </c>
      <c r="G124" s="19">
        <v>299921</v>
      </c>
      <c r="H124" s="17">
        <v>432317</v>
      </c>
    </row>
    <row r="125" spans="1:8" x14ac:dyDescent="0.3">
      <c r="A125" s="13">
        <v>45930</v>
      </c>
      <c r="B125" s="7" t="s">
        <v>134</v>
      </c>
      <c r="C125" s="7" t="s">
        <v>146</v>
      </c>
      <c r="D125" s="18">
        <v>27</v>
      </c>
      <c r="E125" s="19">
        <v>72151</v>
      </c>
      <c r="F125" s="17">
        <v>162339.75</v>
      </c>
      <c r="G125" s="19">
        <v>153504</v>
      </c>
      <c r="H125" s="17">
        <v>315843.75</v>
      </c>
    </row>
    <row r="126" spans="1:8" x14ac:dyDescent="0.3">
      <c r="A126" s="13">
        <v>45961</v>
      </c>
      <c r="B126" s="7" t="s">
        <v>135</v>
      </c>
      <c r="C126" s="7" t="s">
        <v>143</v>
      </c>
      <c r="D126" s="18">
        <v>44</v>
      </c>
      <c r="E126" s="19">
        <v>102172</v>
      </c>
      <c r="F126" s="17">
        <v>374630.66666666669</v>
      </c>
      <c r="G126" s="19">
        <v>552190</v>
      </c>
      <c r="H126" s="17">
        <v>926820.66666666674</v>
      </c>
    </row>
    <row r="127" spans="1:8" x14ac:dyDescent="0.3">
      <c r="A127" s="13">
        <v>45961</v>
      </c>
      <c r="B127" s="7" t="s">
        <v>135</v>
      </c>
      <c r="C127" s="7" t="s">
        <v>144</v>
      </c>
      <c r="D127" s="18">
        <v>33</v>
      </c>
      <c r="E127" s="19">
        <v>132534</v>
      </c>
      <c r="F127" s="17">
        <v>364468.5</v>
      </c>
      <c r="G127" s="19">
        <v>169108</v>
      </c>
      <c r="H127" s="17">
        <v>533576.5</v>
      </c>
    </row>
    <row r="128" spans="1:8" x14ac:dyDescent="0.3">
      <c r="A128" s="13">
        <v>45961</v>
      </c>
      <c r="B128" s="7" t="s">
        <v>135</v>
      </c>
      <c r="C128" s="7" t="s">
        <v>145</v>
      </c>
      <c r="D128" s="18">
        <v>15</v>
      </c>
      <c r="E128" s="19">
        <v>98421</v>
      </c>
      <c r="F128" s="17">
        <v>123026.25</v>
      </c>
      <c r="G128" s="19">
        <v>316441</v>
      </c>
      <c r="H128" s="17">
        <v>439467.25</v>
      </c>
    </row>
    <row r="129" spans="1:8" x14ac:dyDescent="0.3">
      <c r="A129" s="13">
        <v>45961</v>
      </c>
      <c r="B129" s="7" t="s">
        <v>135</v>
      </c>
      <c r="C129" s="7" t="s">
        <v>146</v>
      </c>
      <c r="D129" s="18">
        <v>26</v>
      </c>
      <c r="E129" s="19">
        <v>71345</v>
      </c>
      <c r="F129" s="17">
        <v>154580.83333333331</v>
      </c>
      <c r="G129" s="19">
        <v>150289</v>
      </c>
      <c r="H129" s="17">
        <v>304869.83333333337</v>
      </c>
    </row>
    <row r="130" spans="1:8" x14ac:dyDescent="0.3">
      <c r="A130" s="13">
        <v>45991</v>
      </c>
      <c r="B130" s="7" t="s">
        <v>136</v>
      </c>
      <c r="C130" s="7" t="s">
        <v>143</v>
      </c>
      <c r="D130" s="18">
        <v>44</v>
      </c>
      <c r="E130" s="19">
        <v>102199</v>
      </c>
      <c r="F130" s="17">
        <v>374729.66666666669</v>
      </c>
      <c r="G130" s="19">
        <v>525711</v>
      </c>
      <c r="H130" s="17">
        <v>900440.66666666674</v>
      </c>
    </row>
    <row r="131" spans="1:8" x14ac:dyDescent="0.3">
      <c r="A131" s="13">
        <v>45991</v>
      </c>
      <c r="B131" s="7" t="s">
        <v>136</v>
      </c>
      <c r="C131" s="7" t="s">
        <v>144</v>
      </c>
      <c r="D131" s="18">
        <v>33</v>
      </c>
      <c r="E131" s="19">
        <v>135508</v>
      </c>
      <c r="F131" s="17">
        <v>372647</v>
      </c>
      <c r="G131" s="19">
        <v>201857</v>
      </c>
      <c r="H131" s="17">
        <v>574504</v>
      </c>
    </row>
    <row r="132" spans="1:8" x14ac:dyDescent="0.3">
      <c r="A132" s="13">
        <v>45991</v>
      </c>
      <c r="B132" s="7" t="s">
        <v>136</v>
      </c>
      <c r="C132" s="7" t="s">
        <v>145</v>
      </c>
      <c r="D132" s="18">
        <v>16</v>
      </c>
      <c r="E132" s="19">
        <v>97079</v>
      </c>
      <c r="F132" s="17">
        <v>129438.6666666667</v>
      </c>
      <c r="G132" s="19">
        <v>238735</v>
      </c>
      <c r="H132" s="17">
        <v>368173.66666666669</v>
      </c>
    </row>
    <row r="133" spans="1:8" x14ac:dyDescent="0.3">
      <c r="A133" s="13">
        <v>45991</v>
      </c>
      <c r="B133" s="7" t="s">
        <v>136</v>
      </c>
      <c r="C133" s="7" t="s">
        <v>146</v>
      </c>
      <c r="D133" s="18">
        <v>25</v>
      </c>
      <c r="E133" s="19">
        <v>70453</v>
      </c>
      <c r="F133" s="17">
        <v>146777.08333333331</v>
      </c>
      <c r="G133" s="19">
        <v>176468</v>
      </c>
      <c r="H133" s="17">
        <v>323245.08333333337</v>
      </c>
    </row>
    <row r="134" spans="1:8" x14ac:dyDescent="0.3">
      <c r="A134" s="13">
        <v>46022</v>
      </c>
      <c r="B134" s="7" t="s">
        <v>137</v>
      </c>
      <c r="C134" s="7" t="s">
        <v>143</v>
      </c>
      <c r="D134" s="18">
        <v>46</v>
      </c>
      <c r="E134" s="19">
        <v>103952</v>
      </c>
      <c r="F134" s="17">
        <v>398482.66666666669</v>
      </c>
      <c r="G134" s="19">
        <v>550655</v>
      </c>
      <c r="H134" s="17">
        <v>949137.66666666674</v>
      </c>
    </row>
    <row r="135" spans="1:8" x14ac:dyDescent="0.3">
      <c r="A135" s="13">
        <v>46022</v>
      </c>
      <c r="B135" s="7" t="s">
        <v>137</v>
      </c>
      <c r="C135" s="7" t="s">
        <v>144</v>
      </c>
      <c r="D135" s="18">
        <v>34</v>
      </c>
      <c r="E135" s="19">
        <v>137630</v>
      </c>
      <c r="F135" s="17">
        <v>389951.66666666669</v>
      </c>
      <c r="G135" s="19">
        <v>185126</v>
      </c>
      <c r="H135" s="17">
        <v>575077.66666666674</v>
      </c>
    </row>
    <row r="136" spans="1:8" x14ac:dyDescent="0.3">
      <c r="A136" s="13">
        <v>46022</v>
      </c>
      <c r="B136" s="7" t="s">
        <v>137</v>
      </c>
      <c r="C136" s="7" t="s">
        <v>145</v>
      </c>
      <c r="D136" s="18">
        <v>15</v>
      </c>
      <c r="E136" s="19">
        <v>97712</v>
      </c>
      <c r="F136" s="17">
        <v>122140</v>
      </c>
      <c r="G136" s="19">
        <v>267872</v>
      </c>
      <c r="H136" s="17">
        <v>390012</v>
      </c>
    </row>
    <row r="137" spans="1:8" x14ac:dyDescent="0.3">
      <c r="A137" s="13">
        <v>46022</v>
      </c>
      <c r="B137" s="7" t="s">
        <v>137</v>
      </c>
      <c r="C137" s="7" t="s">
        <v>146</v>
      </c>
      <c r="D137" s="18">
        <v>26</v>
      </c>
      <c r="E137" s="19">
        <v>69828</v>
      </c>
      <c r="F137" s="17">
        <v>151294</v>
      </c>
      <c r="G137" s="19">
        <v>164063</v>
      </c>
      <c r="H137" s="17">
        <v>315357</v>
      </c>
    </row>
    <row r="138" spans="1:8" x14ac:dyDescent="0.3">
      <c r="A138" s="13">
        <v>46053</v>
      </c>
      <c r="B138" s="7" t="s">
        <v>138</v>
      </c>
      <c r="C138" s="7" t="s">
        <v>143</v>
      </c>
      <c r="D138" s="18">
        <v>46</v>
      </c>
      <c r="E138" s="19">
        <v>103751</v>
      </c>
      <c r="F138" s="17">
        <v>397712.16666666669</v>
      </c>
      <c r="G138" s="19">
        <v>462417</v>
      </c>
      <c r="H138" s="17">
        <v>860129.16666666674</v>
      </c>
    </row>
    <row r="139" spans="1:8" x14ac:dyDescent="0.3">
      <c r="A139" s="13">
        <v>46053</v>
      </c>
      <c r="B139" s="7" t="s">
        <v>138</v>
      </c>
      <c r="C139" s="7" t="s">
        <v>144</v>
      </c>
      <c r="D139" s="18">
        <v>34</v>
      </c>
      <c r="E139" s="19">
        <v>136271</v>
      </c>
      <c r="F139" s="17">
        <v>386101.16666666669</v>
      </c>
      <c r="G139" s="19">
        <v>199116</v>
      </c>
      <c r="H139" s="17">
        <v>585217.16666666674</v>
      </c>
    </row>
    <row r="140" spans="1:8" x14ac:dyDescent="0.3">
      <c r="A140" s="13">
        <v>46053</v>
      </c>
      <c r="B140" s="7" t="s">
        <v>138</v>
      </c>
      <c r="C140" s="7" t="s">
        <v>145</v>
      </c>
      <c r="D140" s="18">
        <v>15</v>
      </c>
      <c r="E140" s="19">
        <v>100480</v>
      </c>
      <c r="F140" s="17">
        <v>125600</v>
      </c>
      <c r="G140" s="19">
        <v>260603</v>
      </c>
      <c r="H140" s="17">
        <v>386203</v>
      </c>
    </row>
    <row r="141" spans="1:8" x14ac:dyDescent="0.3">
      <c r="A141" s="13">
        <v>46053</v>
      </c>
      <c r="B141" s="7" t="s">
        <v>138</v>
      </c>
      <c r="C141" s="7" t="s">
        <v>146</v>
      </c>
      <c r="D141" s="18">
        <v>26</v>
      </c>
      <c r="E141" s="19">
        <v>69089</v>
      </c>
      <c r="F141" s="17">
        <v>149692.83333333331</v>
      </c>
      <c r="G141" s="19">
        <v>156941</v>
      </c>
      <c r="H141" s="17">
        <v>306633.83333333337</v>
      </c>
    </row>
    <row r="142" spans="1:8" x14ac:dyDescent="0.3">
      <c r="A142" s="13">
        <v>46081</v>
      </c>
      <c r="B142" s="7" t="s">
        <v>139</v>
      </c>
      <c r="C142" s="7" t="s">
        <v>143</v>
      </c>
      <c r="D142" s="18">
        <v>45</v>
      </c>
      <c r="E142" s="19">
        <v>103243</v>
      </c>
      <c r="F142" s="17">
        <v>387161.25</v>
      </c>
      <c r="G142" s="19">
        <v>466948</v>
      </c>
      <c r="H142" s="17">
        <v>854109.25</v>
      </c>
    </row>
    <row r="143" spans="1:8" x14ac:dyDescent="0.3">
      <c r="A143" s="13">
        <v>46081</v>
      </c>
      <c r="B143" s="7" t="s">
        <v>139</v>
      </c>
      <c r="C143" s="7" t="s">
        <v>144</v>
      </c>
      <c r="D143" s="18">
        <v>35</v>
      </c>
      <c r="E143" s="19">
        <v>135284</v>
      </c>
      <c r="F143" s="17">
        <v>394578.33333333331</v>
      </c>
      <c r="G143" s="19">
        <v>187083</v>
      </c>
      <c r="H143" s="17">
        <v>581661.33333333326</v>
      </c>
    </row>
    <row r="144" spans="1:8" x14ac:dyDescent="0.3">
      <c r="A144" s="13">
        <v>46081</v>
      </c>
      <c r="B144" s="7" t="s">
        <v>139</v>
      </c>
      <c r="C144" s="7" t="s">
        <v>145</v>
      </c>
      <c r="D144" s="18">
        <v>16</v>
      </c>
      <c r="E144" s="19">
        <v>98638</v>
      </c>
      <c r="F144" s="17">
        <v>131517.33333333331</v>
      </c>
      <c r="G144" s="19">
        <v>271008</v>
      </c>
      <c r="H144" s="17">
        <v>402525.33333333337</v>
      </c>
    </row>
    <row r="145" spans="1:8" x14ac:dyDescent="0.3">
      <c r="A145" s="13">
        <v>46081</v>
      </c>
      <c r="B145" s="7" t="s">
        <v>139</v>
      </c>
      <c r="C145" s="7" t="s">
        <v>146</v>
      </c>
      <c r="D145" s="18">
        <v>26</v>
      </c>
      <c r="E145" s="19">
        <v>72687</v>
      </c>
      <c r="F145" s="17">
        <v>157488.5</v>
      </c>
      <c r="G145" s="19">
        <v>149911</v>
      </c>
      <c r="H145" s="17">
        <v>307399.5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showGridLines="0" workbookViewId="0"/>
  </sheetViews>
  <sheetFormatPr defaultRowHeight="14.4" x14ac:dyDescent="0.3"/>
  <cols>
    <col min="1" max="1" width="10" customWidth="1"/>
    <col min="2" max="2" width="14" customWidth="1"/>
    <col min="3" max="3" width="12" customWidth="1"/>
    <col min="4" max="4" width="14" customWidth="1"/>
    <col min="5" max="5" width="10" customWidth="1"/>
    <col min="6" max="7" width="14" customWidth="1"/>
  </cols>
  <sheetData>
    <row r="1" spans="1:7" ht="28.95" customHeight="1" x14ac:dyDescent="0.3">
      <c r="A1" s="12" t="s">
        <v>58</v>
      </c>
      <c r="B1" s="12" t="s">
        <v>60</v>
      </c>
      <c r="C1" s="12" t="s">
        <v>61</v>
      </c>
      <c r="D1" s="12" t="s">
        <v>64</v>
      </c>
      <c r="E1" s="12" t="s">
        <v>95</v>
      </c>
      <c r="F1" s="12" t="s">
        <v>96</v>
      </c>
      <c r="G1" s="12" t="s">
        <v>62</v>
      </c>
    </row>
    <row r="2" spans="1:7" x14ac:dyDescent="0.3">
      <c r="A2" s="13">
        <v>45016</v>
      </c>
      <c r="B2" s="17">
        <v>6111106.6923861532</v>
      </c>
      <c r="C2" s="17">
        <v>4028660.1</v>
      </c>
      <c r="D2" s="17">
        <v>287718.37</v>
      </c>
      <c r="E2" s="22">
        <v>31898</v>
      </c>
      <c r="F2" s="22">
        <v>10961</v>
      </c>
      <c r="G2" s="17">
        <v>2082446.5923861531</v>
      </c>
    </row>
    <row r="3" spans="1:7" x14ac:dyDescent="0.3">
      <c r="A3" s="13">
        <v>45046</v>
      </c>
      <c r="B3" s="17">
        <v>6112814.294749245</v>
      </c>
      <c r="C3" s="17">
        <v>4049039.15</v>
      </c>
      <c r="D3" s="17">
        <v>323051.33</v>
      </c>
      <c r="E3" s="22">
        <v>32492</v>
      </c>
      <c r="F3" s="22">
        <v>11257</v>
      </c>
      <c r="G3" s="17">
        <v>2063775.1447492449</v>
      </c>
    </row>
    <row r="4" spans="1:7" x14ac:dyDescent="0.3">
      <c r="A4" s="13">
        <v>45077</v>
      </c>
      <c r="B4" s="17">
        <v>6464674.8755981876</v>
      </c>
      <c r="C4" s="17">
        <v>4220475.59</v>
      </c>
      <c r="D4" s="17">
        <v>331177.31</v>
      </c>
      <c r="E4" s="22">
        <v>34012</v>
      </c>
      <c r="F4" s="22">
        <v>11793</v>
      </c>
      <c r="G4" s="17">
        <v>2244199.2855981882</v>
      </c>
    </row>
    <row r="5" spans="1:7" x14ac:dyDescent="0.3">
      <c r="A5" s="13">
        <v>45107</v>
      </c>
      <c r="B5" s="17">
        <v>6892942.5152801974</v>
      </c>
      <c r="C5" s="17">
        <v>4524379.95</v>
      </c>
      <c r="D5" s="17">
        <v>390841.65</v>
      </c>
      <c r="E5" s="22">
        <v>37753</v>
      </c>
      <c r="F5" s="22">
        <v>13243</v>
      </c>
      <c r="G5" s="17">
        <v>2368562.5652801972</v>
      </c>
    </row>
    <row r="6" spans="1:7" x14ac:dyDescent="0.3">
      <c r="A6" s="13">
        <v>45138</v>
      </c>
      <c r="B6" s="17">
        <v>6958622.9089282202</v>
      </c>
      <c r="C6" s="17">
        <v>4623110.54</v>
      </c>
      <c r="D6" s="17">
        <v>401729.77</v>
      </c>
      <c r="E6" s="22">
        <v>39319</v>
      </c>
      <c r="F6" s="22">
        <v>13229</v>
      </c>
      <c r="G6" s="17">
        <v>2335512.3689282201</v>
      </c>
    </row>
    <row r="7" spans="1:7" x14ac:dyDescent="0.3">
      <c r="A7" s="13">
        <v>45169</v>
      </c>
      <c r="B7" s="17">
        <v>6349906.7648599707</v>
      </c>
      <c r="C7" s="17">
        <v>4153524.26</v>
      </c>
      <c r="D7" s="17">
        <v>371589.65</v>
      </c>
      <c r="E7" s="22">
        <v>34286</v>
      </c>
      <c r="F7" s="22">
        <v>12050</v>
      </c>
      <c r="G7" s="17">
        <v>2196382.5048599709</v>
      </c>
    </row>
    <row r="8" spans="1:7" x14ac:dyDescent="0.3">
      <c r="A8" s="13">
        <v>45199</v>
      </c>
      <c r="B8" s="17">
        <v>6791502.7406682288</v>
      </c>
      <c r="C8" s="17">
        <v>4491153.4399999985</v>
      </c>
      <c r="D8" s="17">
        <v>353431.32</v>
      </c>
      <c r="E8" s="22">
        <v>36063</v>
      </c>
      <c r="F8" s="22">
        <v>12487</v>
      </c>
      <c r="G8" s="17">
        <v>2300349.3006682289</v>
      </c>
    </row>
    <row r="9" spans="1:7" x14ac:dyDescent="0.3">
      <c r="A9" s="13">
        <v>45230</v>
      </c>
      <c r="B9" s="17">
        <v>6747149.0162298111</v>
      </c>
      <c r="C9" s="17">
        <v>4380190.7199999997</v>
      </c>
      <c r="D9" s="17">
        <v>356364.25</v>
      </c>
      <c r="E9" s="22">
        <v>35708</v>
      </c>
      <c r="F9" s="22">
        <v>12450</v>
      </c>
      <c r="G9" s="17">
        <v>2366958.2962298109</v>
      </c>
    </row>
    <row r="10" spans="1:7" x14ac:dyDescent="0.3">
      <c r="A10" s="13">
        <v>45260</v>
      </c>
      <c r="B10" s="17">
        <v>7870188.8704731539</v>
      </c>
      <c r="C10" s="17">
        <v>5294709.87</v>
      </c>
      <c r="D10" s="17">
        <v>412347.22</v>
      </c>
      <c r="E10" s="22">
        <v>43811</v>
      </c>
      <c r="F10" s="22">
        <v>15077</v>
      </c>
      <c r="G10" s="17">
        <v>2575479.0004731538</v>
      </c>
    </row>
    <row r="11" spans="1:7" x14ac:dyDescent="0.3">
      <c r="A11" s="13">
        <v>45291</v>
      </c>
      <c r="B11" s="17">
        <v>8601676.2069240939</v>
      </c>
      <c r="C11" s="17">
        <v>5883293.5999999996</v>
      </c>
      <c r="D11" s="17">
        <v>457007.23</v>
      </c>
      <c r="E11" s="22">
        <v>45942</v>
      </c>
      <c r="F11" s="22">
        <v>15743</v>
      </c>
      <c r="G11" s="17">
        <v>2718382.6069240938</v>
      </c>
    </row>
    <row r="12" spans="1:7" x14ac:dyDescent="0.3">
      <c r="A12" s="13">
        <v>45322</v>
      </c>
      <c r="B12" s="17">
        <v>5938555.8566266512</v>
      </c>
      <c r="C12" s="17">
        <v>3882425.36</v>
      </c>
      <c r="D12" s="17">
        <v>265644.7</v>
      </c>
      <c r="E12" s="22">
        <v>30437</v>
      </c>
      <c r="F12" s="22">
        <v>10390</v>
      </c>
      <c r="G12" s="17">
        <v>2056130.4966266509</v>
      </c>
    </row>
    <row r="13" spans="1:7" x14ac:dyDescent="0.3">
      <c r="A13" s="13">
        <v>45351</v>
      </c>
      <c r="B13" s="17">
        <v>7017084.1067634989</v>
      </c>
      <c r="C13" s="17">
        <v>4533151.67</v>
      </c>
      <c r="D13" s="17">
        <v>371175.7</v>
      </c>
      <c r="E13" s="22">
        <v>38773</v>
      </c>
      <c r="F13" s="22">
        <v>13192</v>
      </c>
      <c r="G13" s="17">
        <v>2483932.4367634989</v>
      </c>
    </row>
    <row r="14" spans="1:7" x14ac:dyDescent="0.3">
      <c r="A14" s="13">
        <v>45382</v>
      </c>
      <c r="B14" s="17">
        <v>6758152.5623435564</v>
      </c>
      <c r="C14" s="17">
        <v>4375280.1099999994</v>
      </c>
      <c r="D14" s="17">
        <v>341012.76</v>
      </c>
      <c r="E14" s="22">
        <v>35582</v>
      </c>
      <c r="F14" s="22">
        <v>12321</v>
      </c>
      <c r="G14" s="17">
        <v>2382872.4523435561</v>
      </c>
    </row>
    <row r="15" spans="1:7" x14ac:dyDescent="0.3">
      <c r="A15" s="13">
        <v>45412</v>
      </c>
      <c r="B15" s="17">
        <v>7319175.5219615037</v>
      </c>
      <c r="C15" s="17">
        <v>4844045.29</v>
      </c>
      <c r="D15" s="17">
        <v>390632.54</v>
      </c>
      <c r="E15" s="22">
        <v>38375</v>
      </c>
      <c r="F15" s="22">
        <v>13577</v>
      </c>
      <c r="G15" s="17">
        <v>2475130.2319615041</v>
      </c>
    </row>
    <row r="16" spans="1:7" x14ac:dyDescent="0.3">
      <c r="A16" s="13">
        <v>45443</v>
      </c>
      <c r="B16" s="17">
        <v>8092187.9828374386</v>
      </c>
      <c r="C16" s="17">
        <v>5251624.96</v>
      </c>
      <c r="D16" s="17">
        <v>360129.19</v>
      </c>
      <c r="E16" s="22">
        <v>43263</v>
      </c>
      <c r="F16" s="22">
        <v>14692</v>
      </c>
      <c r="G16" s="17">
        <v>2840563.0228374391</v>
      </c>
    </row>
    <row r="17" spans="1:7" x14ac:dyDescent="0.3">
      <c r="A17" s="13">
        <v>45473</v>
      </c>
      <c r="B17" s="17">
        <v>6996480.341332932</v>
      </c>
      <c r="C17" s="17">
        <v>4531021.71</v>
      </c>
      <c r="D17" s="17">
        <v>360719.94</v>
      </c>
      <c r="E17" s="22">
        <v>36218</v>
      </c>
      <c r="F17" s="22">
        <v>12069</v>
      </c>
      <c r="G17" s="17">
        <v>2465458.631332932</v>
      </c>
    </row>
    <row r="18" spans="1:7" x14ac:dyDescent="0.3">
      <c r="A18" s="13">
        <v>45504</v>
      </c>
      <c r="B18" s="17">
        <v>8179206.5402881037</v>
      </c>
      <c r="C18" s="17">
        <v>5234847.17</v>
      </c>
      <c r="D18" s="17">
        <v>402358.3</v>
      </c>
      <c r="E18" s="22">
        <v>41703</v>
      </c>
      <c r="F18" s="22">
        <v>13736</v>
      </c>
      <c r="G18" s="17">
        <v>2944359.3702881038</v>
      </c>
    </row>
    <row r="19" spans="1:7" x14ac:dyDescent="0.3">
      <c r="A19" s="13">
        <v>45535</v>
      </c>
      <c r="B19" s="17">
        <v>7645710.9722999847</v>
      </c>
      <c r="C19" s="17">
        <v>4902229.43</v>
      </c>
      <c r="D19" s="17">
        <v>385680.57</v>
      </c>
      <c r="E19" s="22">
        <v>38829</v>
      </c>
      <c r="F19" s="22">
        <v>13584</v>
      </c>
      <c r="G19" s="17">
        <v>2743481.542299985</v>
      </c>
    </row>
    <row r="20" spans="1:7" x14ac:dyDescent="0.3">
      <c r="A20" s="13">
        <v>45565</v>
      </c>
      <c r="B20" s="17">
        <v>7961548.7263307348</v>
      </c>
      <c r="C20" s="17">
        <v>5115970.99</v>
      </c>
      <c r="D20" s="17">
        <v>406189.59</v>
      </c>
      <c r="E20" s="22">
        <v>41700</v>
      </c>
      <c r="F20" s="22">
        <v>14298</v>
      </c>
      <c r="G20" s="17">
        <v>2845577.736330735</v>
      </c>
    </row>
    <row r="21" spans="1:7" x14ac:dyDescent="0.3">
      <c r="A21" s="13">
        <v>45596</v>
      </c>
      <c r="B21" s="17">
        <v>9093569.9436307065</v>
      </c>
      <c r="C21" s="17">
        <v>5920936.5999999996</v>
      </c>
      <c r="D21" s="17">
        <v>474895.35</v>
      </c>
      <c r="E21" s="22">
        <v>48250</v>
      </c>
      <c r="F21" s="22">
        <v>16782</v>
      </c>
      <c r="G21" s="17">
        <v>3172633.3436307069</v>
      </c>
    </row>
    <row r="22" spans="1:7" x14ac:dyDescent="0.3">
      <c r="A22" s="13">
        <v>45626</v>
      </c>
      <c r="B22" s="17">
        <v>8334125.6000987366</v>
      </c>
      <c r="C22" s="17">
        <v>5644645.2300000004</v>
      </c>
      <c r="D22" s="17">
        <v>377657.36</v>
      </c>
      <c r="E22" s="22">
        <v>43927</v>
      </c>
      <c r="F22" s="22">
        <v>14842</v>
      </c>
      <c r="G22" s="17">
        <v>2689480.3700987371</v>
      </c>
    </row>
    <row r="23" spans="1:7" x14ac:dyDescent="0.3">
      <c r="A23" s="13">
        <v>45657</v>
      </c>
      <c r="B23" s="17">
        <v>9565478.6902354583</v>
      </c>
      <c r="C23" s="17">
        <v>6413665.1299999999</v>
      </c>
      <c r="D23" s="17">
        <v>455713.01</v>
      </c>
      <c r="E23" s="22">
        <v>51221</v>
      </c>
      <c r="F23" s="22">
        <v>17535</v>
      </c>
      <c r="G23" s="17">
        <v>3151813.560235458</v>
      </c>
    </row>
    <row r="24" spans="1:7" x14ac:dyDescent="0.3">
      <c r="A24" s="13">
        <v>45688</v>
      </c>
      <c r="B24" s="17">
        <v>5971233.712869497</v>
      </c>
      <c r="C24" s="17">
        <v>3909061.54</v>
      </c>
      <c r="D24" s="17">
        <v>274150.31</v>
      </c>
      <c r="E24" s="22">
        <v>30225</v>
      </c>
      <c r="F24" s="22">
        <v>10338</v>
      </c>
      <c r="G24" s="17">
        <v>2062172.172869497</v>
      </c>
    </row>
    <row r="25" spans="1:7" x14ac:dyDescent="0.3">
      <c r="A25" s="13">
        <v>45716</v>
      </c>
      <c r="B25" s="17">
        <v>7123617.4897099817</v>
      </c>
      <c r="C25" s="17">
        <v>4575249.7300000004</v>
      </c>
      <c r="D25" s="17">
        <v>393038.81</v>
      </c>
      <c r="E25" s="22">
        <v>37885</v>
      </c>
      <c r="F25" s="22">
        <v>13186</v>
      </c>
      <c r="G25" s="17">
        <v>2548367.7597099822</v>
      </c>
    </row>
    <row r="26" spans="1:7" x14ac:dyDescent="0.3">
      <c r="A26" s="13">
        <v>45747</v>
      </c>
      <c r="B26" s="17">
        <v>8562748.5435565561</v>
      </c>
      <c r="C26" s="17">
        <v>5511461.4800000004</v>
      </c>
      <c r="D26" s="17">
        <v>407763.73</v>
      </c>
      <c r="E26" s="22">
        <v>44050</v>
      </c>
      <c r="F26" s="22">
        <v>15058</v>
      </c>
      <c r="G26" s="17">
        <v>3051287.0635565561</v>
      </c>
    </row>
    <row r="27" spans="1:7" x14ac:dyDescent="0.3">
      <c r="A27" s="13">
        <v>45777</v>
      </c>
      <c r="B27" s="17">
        <v>8025738.8235086119</v>
      </c>
      <c r="C27" s="17">
        <v>5148809.09</v>
      </c>
      <c r="D27" s="17">
        <v>388064.05</v>
      </c>
      <c r="E27" s="22">
        <v>41801</v>
      </c>
      <c r="F27" s="22">
        <v>14290</v>
      </c>
      <c r="G27" s="17">
        <v>2876929.733508612</v>
      </c>
    </row>
    <row r="28" spans="1:7" x14ac:dyDescent="0.3">
      <c r="A28" s="13">
        <v>45808</v>
      </c>
      <c r="B28" s="17">
        <v>8104083.2856993051</v>
      </c>
      <c r="C28" s="17">
        <v>5218243.03</v>
      </c>
      <c r="D28" s="17">
        <v>420029.69</v>
      </c>
      <c r="E28" s="22">
        <v>42577</v>
      </c>
      <c r="F28" s="22">
        <v>14590</v>
      </c>
      <c r="G28" s="17">
        <v>2885840.2556993049</v>
      </c>
    </row>
    <row r="29" spans="1:7" x14ac:dyDescent="0.3">
      <c r="A29" s="13">
        <v>45838</v>
      </c>
      <c r="B29" s="17">
        <v>8892356.5967695024</v>
      </c>
      <c r="C29" s="17">
        <v>5699031.4100000001</v>
      </c>
      <c r="D29" s="17">
        <v>430236.66</v>
      </c>
      <c r="E29" s="22">
        <v>44859</v>
      </c>
      <c r="F29" s="22">
        <v>15139</v>
      </c>
      <c r="G29" s="17">
        <v>3193325.1867695018</v>
      </c>
    </row>
    <row r="30" spans="1:7" x14ac:dyDescent="0.3">
      <c r="A30" s="13">
        <v>45869</v>
      </c>
      <c r="B30" s="17">
        <v>9582414.6671222784</v>
      </c>
      <c r="C30" s="17">
        <v>6221488.8200000003</v>
      </c>
      <c r="D30" s="17">
        <v>428566.03</v>
      </c>
      <c r="E30" s="22">
        <v>47296</v>
      </c>
      <c r="F30" s="22">
        <v>16663</v>
      </c>
      <c r="G30" s="17">
        <v>3360925.8471222781</v>
      </c>
    </row>
    <row r="31" spans="1:7" x14ac:dyDescent="0.3">
      <c r="A31" s="13">
        <v>45900</v>
      </c>
      <c r="B31" s="17">
        <v>9212797.478943944</v>
      </c>
      <c r="C31" s="17">
        <v>5920960.5800000001</v>
      </c>
      <c r="D31" s="17">
        <v>420929.87</v>
      </c>
      <c r="E31" s="22">
        <v>45473</v>
      </c>
      <c r="F31" s="22">
        <v>15782</v>
      </c>
      <c r="G31" s="17">
        <v>3291836.8989439439</v>
      </c>
    </row>
    <row r="32" spans="1:7" x14ac:dyDescent="0.3">
      <c r="A32" s="13">
        <v>45930</v>
      </c>
      <c r="B32" s="17">
        <v>10052103.506071519</v>
      </c>
      <c r="C32" s="17">
        <v>6447760.46</v>
      </c>
      <c r="D32" s="17">
        <v>515902.88</v>
      </c>
      <c r="E32" s="22">
        <v>50601</v>
      </c>
      <c r="F32" s="22">
        <v>17595</v>
      </c>
      <c r="G32" s="17">
        <v>3604343.0460715168</v>
      </c>
    </row>
    <row r="33" spans="1:7" x14ac:dyDescent="0.3">
      <c r="A33" s="13">
        <v>45961</v>
      </c>
      <c r="B33" s="17">
        <v>9788962.0116820671</v>
      </c>
      <c r="C33" s="17">
        <v>6404483.0700000003</v>
      </c>
      <c r="D33" s="17">
        <v>486439.25</v>
      </c>
      <c r="E33" s="22">
        <v>50039</v>
      </c>
      <c r="F33" s="22">
        <v>17142</v>
      </c>
      <c r="G33" s="17">
        <v>3384478.9416820668</v>
      </c>
    </row>
    <row r="34" spans="1:7" x14ac:dyDescent="0.3">
      <c r="A34" s="13">
        <v>45991</v>
      </c>
      <c r="B34" s="17">
        <v>10925888.2990475</v>
      </c>
      <c r="C34" s="17">
        <v>7271478.3499999996</v>
      </c>
      <c r="D34" s="17">
        <v>506200.3</v>
      </c>
      <c r="E34" s="22">
        <v>54509</v>
      </c>
      <c r="F34" s="22">
        <v>18412</v>
      </c>
      <c r="G34" s="17">
        <v>3654409.9490474979</v>
      </c>
    </row>
    <row r="35" spans="1:7" x14ac:dyDescent="0.3">
      <c r="A35" s="13">
        <v>46022</v>
      </c>
      <c r="B35" s="17">
        <v>12006271.604893159</v>
      </c>
      <c r="C35" s="17">
        <v>7953390.0199999996</v>
      </c>
      <c r="D35" s="17">
        <v>572392</v>
      </c>
      <c r="E35" s="22">
        <v>62370</v>
      </c>
      <c r="F35" s="22">
        <v>21166</v>
      </c>
      <c r="G35" s="17">
        <v>4052881.58489316</v>
      </c>
    </row>
    <row r="36" spans="1:7" x14ac:dyDescent="0.3">
      <c r="A36" s="13">
        <v>46053</v>
      </c>
      <c r="B36" s="17">
        <v>8179644.9600331858</v>
      </c>
      <c r="C36" s="17">
        <v>5199996.2300000004</v>
      </c>
      <c r="D36" s="17">
        <v>405348.32</v>
      </c>
      <c r="E36" s="22">
        <v>41850</v>
      </c>
      <c r="F36" s="22">
        <v>14368</v>
      </c>
      <c r="G36" s="17">
        <v>2979648.7300331849</v>
      </c>
    </row>
    <row r="37" spans="1:7" x14ac:dyDescent="0.3">
      <c r="A37" s="13">
        <v>46081</v>
      </c>
      <c r="B37" s="17">
        <v>8640981.1325286292</v>
      </c>
      <c r="C37" s="17">
        <v>5587282.54</v>
      </c>
      <c r="D37" s="17">
        <v>397928.15</v>
      </c>
      <c r="E37" s="22">
        <v>44439</v>
      </c>
      <c r="F37" s="22">
        <v>15004</v>
      </c>
      <c r="G37" s="17">
        <v>3053698.5925286291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"/>
  <sheetViews>
    <sheetView showGridLines="0" workbookViewId="0">
      <selection activeCell="C1" sqref="C1"/>
    </sheetView>
  </sheetViews>
  <sheetFormatPr defaultRowHeight="14.4" x14ac:dyDescent="0.3"/>
  <cols>
    <col min="1" max="1" width="10" customWidth="1"/>
    <col min="2" max="4" width="14" customWidth="1"/>
  </cols>
  <sheetData>
    <row r="1" spans="1:4" x14ac:dyDescent="0.3">
      <c r="A1" s="12" t="s">
        <v>58</v>
      </c>
      <c r="B1" s="12" t="s">
        <v>65</v>
      </c>
      <c r="C1" s="12" t="s">
        <v>66</v>
      </c>
      <c r="D1" s="12" t="s">
        <v>67</v>
      </c>
    </row>
    <row r="2" spans="1:4" x14ac:dyDescent="0.3">
      <c r="A2" s="13">
        <v>45016</v>
      </c>
      <c r="B2" s="17">
        <v>794929.83333333337</v>
      </c>
      <c r="C2" s="17">
        <v>982398</v>
      </c>
      <c r="D2" s="17">
        <v>1777327.833333333</v>
      </c>
    </row>
    <row r="3" spans="1:4" x14ac:dyDescent="0.3">
      <c r="A3" s="13">
        <v>45046</v>
      </c>
      <c r="B3" s="17">
        <v>818939.33333333326</v>
      </c>
      <c r="C3" s="17">
        <v>1011498</v>
      </c>
      <c r="D3" s="17">
        <v>1830437.333333333</v>
      </c>
    </row>
    <row r="4" spans="1:4" x14ac:dyDescent="0.3">
      <c r="A4" s="13">
        <v>45077</v>
      </c>
      <c r="B4" s="17">
        <v>824754.5</v>
      </c>
      <c r="C4" s="17">
        <v>950921</v>
      </c>
      <c r="D4" s="17">
        <v>1775675.5</v>
      </c>
    </row>
    <row r="5" spans="1:4" x14ac:dyDescent="0.3">
      <c r="A5" s="13">
        <v>45107</v>
      </c>
      <c r="B5" s="17">
        <v>800499.16666666663</v>
      </c>
      <c r="C5" s="17">
        <v>991353</v>
      </c>
      <c r="D5" s="17">
        <v>1791852.166666667</v>
      </c>
    </row>
    <row r="6" spans="1:4" x14ac:dyDescent="0.3">
      <c r="A6" s="13">
        <v>45138</v>
      </c>
      <c r="B6" s="17">
        <v>824750.66666666674</v>
      </c>
      <c r="C6" s="17">
        <v>978587</v>
      </c>
      <c r="D6" s="17">
        <v>1803337.666666667</v>
      </c>
    </row>
    <row r="7" spans="1:4" x14ac:dyDescent="0.3">
      <c r="A7" s="13">
        <v>45169</v>
      </c>
      <c r="B7" s="17">
        <v>837845.75</v>
      </c>
      <c r="C7" s="17">
        <v>974751</v>
      </c>
      <c r="D7" s="17">
        <v>1812596.75</v>
      </c>
    </row>
    <row r="8" spans="1:4" x14ac:dyDescent="0.3">
      <c r="A8" s="13">
        <v>45199</v>
      </c>
      <c r="B8" s="17">
        <v>845206.75</v>
      </c>
      <c r="C8" s="17">
        <v>1099285</v>
      </c>
      <c r="D8" s="17">
        <v>1944491.75</v>
      </c>
    </row>
    <row r="9" spans="1:4" x14ac:dyDescent="0.3">
      <c r="A9" s="13">
        <v>45230</v>
      </c>
      <c r="B9" s="17">
        <v>830136.33333333326</v>
      </c>
      <c r="C9" s="17">
        <v>1013925</v>
      </c>
      <c r="D9" s="17">
        <v>1844061.333333333</v>
      </c>
    </row>
    <row r="10" spans="1:4" x14ac:dyDescent="0.3">
      <c r="A10" s="13">
        <v>45260</v>
      </c>
      <c r="B10" s="17">
        <v>867556.83333333337</v>
      </c>
      <c r="C10" s="17">
        <v>1158992</v>
      </c>
      <c r="D10" s="17">
        <v>2026548.833333333</v>
      </c>
    </row>
    <row r="11" spans="1:4" x14ac:dyDescent="0.3">
      <c r="A11" s="13">
        <v>45291</v>
      </c>
      <c r="B11" s="17">
        <v>855319.33333333337</v>
      </c>
      <c r="C11" s="17">
        <v>1124583</v>
      </c>
      <c r="D11" s="17">
        <v>1979902.333333333</v>
      </c>
    </row>
    <row r="12" spans="1:4" x14ac:dyDescent="0.3">
      <c r="A12" s="13">
        <v>45322</v>
      </c>
      <c r="B12" s="17">
        <v>870086.91666666674</v>
      </c>
      <c r="C12" s="17">
        <v>1003694</v>
      </c>
      <c r="D12" s="17">
        <v>1873780.916666667</v>
      </c>
    </row>
    <row r="13" spans="1:4" x14ac:dyDescent="0.3">
      <c r="A13" s="13">
        <v>45351</v>
      </c>
      <c r="B13" s="17">
        <v>887942.66666666674</v>
      </c>
      <c r="C13" s="17">
        <v>990879</v>
      </c>
      <c r="D13" s="17">
        <v>1878821.666666667</v>
      </c>
    </row>
    <row r="14" spans="1:4" x14ac:dyDescent="0.3">
      <c r="A14" s="13">
        <v>45382</v>
      </c>
      <c r="B14" s="17">
        <v>855414.33333333337</v>
      </c>
      <c r="C14" s="17">
        <v>1006466</v>
      </c>
      <c r="D14" s="17">
        <v>1861880.333333333</v>
      </c>
    </row>
    <row r="15" spans="1:4" x14ac:dyDescent="0.3">
      <c r="A15" s="13">
        <v>45412</v>
      </c>
      <c r="B15" s="17">
        <v>914548</v>
      </c>
      <c r="C15" s="17">
        <v>996515</v>
      </c>
      <c r="D15" s="17">
        <v>1911063</v>
      </c>
    </row>
    <row r="16" spans="1:4" x14ac:dyDescent="0.3">
      <c r="A16" s="13">
        <v>45443</v>
      </c>
      <c r="B16" s="17">
        <v>902724.58333333337</v>
      </c>
      <c r="C16" s="17">
        <v>940527</v>
      </c>
      <c r="D16" s="17">
        <v>1843251.583333333</v>
      </c>
    </row>
    <row r="17" spans="1:4" x14ac:dyDescent="0.3">
      <c r="A17" s="13">
        <v>45473</v>
      </c>
      <c r="B17" s="17">
        <v>908719.16666666674</v>
      </c>
      <c r="C17" s="17">
        <v>1065511</v>
      </c>
      <c r="D17" s="17">
        <v>1974230.166666667</v>
      </c>
    </row>
    <row r="18" spans="1:4" x14ac:dyDescent="0.3">
      <c r="A18" s="13">
        <v>45504</v>
      </c>
      <c r="B18" s="17">
        <v>919576.66666666663</v>
      </c>
      <c r="C18" s="17">
        <v>1043555</v>
      </c>
      <c r="D18" s="17">
        <v>1963131.666666667</v>
      </c>
    </row>
    <row r="19" spans="1:4" x14ac:dyDescent="0.3">
      <c r="A19" s="13">
        <v>45535</v>
      </c>
      <c r="B19" s="17">
        <v>951645.75</v>
      </c>
      <c r="C19" s="17">
        <v>1012041</v>
      </c>
      <c r="D19" s="17">
        <v>1963686.75</v>
      </c>
    </row>
    <row r="20" spans="1:4" x14ac:dyDescent="0.3">
      <c r="A20" s="13">
        <v>45565</v>
      </c>
      <c r="B20" s="17">
        <v>954588</v>
      </c>
      <c r="C20" s="17">
        <v>1079230</v>
      </c>
      <c r="D20" s="17">
        <v>2033818</v>
      </c>
    </row>
    <row r="21" spans="1:4" x14ac:dyDescent="0.3">
      <c r="A21" s="13">
        <v>45596</v>
      </c>
      <c r="B21" s="17">
        <v>910068.91666666674</v>
      </c>
      <c r="C21" s="17">
        <v>1126311</v>
      </c>
      <c r="D21" s="17">
        <v>2036379.916666667</v>
      </c>
    </row>
    <row r="22" spans="1:4" x14ac:dyDescent="0.3">
      <c r="A22" s="13">
        <v>45626</v>
      </c>
      <c r="B22" s="17">
        <v>936287</v>
      </c>
      <c r="C22" s="17">
        <v>1207900</v>
      </c>
      <c r="D22" s="17">
        <v>2144187</v>
      </c>
    </row>
    <row r="23" spans="1:4" x14ac:dyDescent="0.3">
      <c r="A23" s="13">
        <v>45657</v>
      </c>
      <c r="B23" s="17">
        <v>960952.5</v>
      </c>
      <c r="C23" s="17">
        <v>1200486</v>
      </c>
      <c r="D23" s="17">
        <v>2161438.5</v>
      </c>
    </row>
    <row r="24" spans="1:4" x14ac:dyDescent="0.3">
      <c r="A24" s="13">
        <v>45688</v>
      </c>
      <c r="B24" s="17">
        <v>945090.91666666663</v>
      </c>
      <c r="C24" s="17">
        <v>1127471</v>
      </c>
      <c r="D24" s="17">
        <v>2072561.916666667</v>
      </c>
    </row>
    <row r="25" spans="1:4" x14ac:dyDescent="0.3">
      <c r="A25" s="13">
        <v>45716</v>
      </c>
      <c r="B25" s="17">
        <v>953142.25</v>
      </c>
      <c r="C25" s="17">
        <v>1098700</v>
      </c>
      <c r="D25" s="17">
        <v>2051842.25</v>
      </c>
    </row>
    <row r="26" spans="1:4" x14ac:dyDescent="0.3">
      <c r="A26" s="13">
        <v>45747</v>
      </c>
      <c r="B26" s="17">
        <v>974990.83333333337</v>
      </c>
      <c r="C26" s="17">
        <v>1121837</v>
      </c>
      <c r="D26" s="17">
        <v>2096827.833333333</v>
      </c>
    </row>
    <row r="27" spans="1:4" x14ac:dyDescent="0.3">
      <c r="A27" s="13">
        <v>45777</v>
      </c>
      <c r="B27" s="17">
        <v>981858.41666666663</v>
      </c>
      <c r="C27" s="17">
        <v>1007278</v>
      </c>
      <c r="D27" s="17">
        <v>1989136.416666667</v>
      </c>
    </row>
    <row r="28" spans="1:4" x14ac:dyDescent="0.3">
      <c r="A28" s="13">
        <v>45808</v>
      </c>
      <c r="B28" s="17">
        <v>994265</v>
      </c>
      <c r="C28" s="17">
        <v>1086761</v>
      </c>
      <c r="D28" s="17">
        <v>2081026</v>
      </c>
    </row>
    <row r="29" spans="1:4" x14ac:dyDescent="0.3">
      <c r="A29" s="13">
        <v>45838</v>
      </c>
      <c r="B29" s="17">
        <v>967356.5</v>
      </c>
      <c r="C29" s="17">
        <v>1021135</v>
      </c>
      <c r="D29" s="17">
        <v>1988491.5</v>
      </c>
    </row>
    <row r="30" spans="1:4" x14ac:dyDescent="0.3">
      <c r="A30" s="13">
        <v>45869</v>
      </c>
      <c r="B30" s="17">
        <v>1022722.583333333</v>
      </c>
      <c r="C30" s="17">
        <v>1012458</v>
      </c>
      <c r="D30" s="17">
        <v>2035180.583333333</v>
      </c>
    </row>
    <row r="31" spans="1:4" x14ac:dyDescent="0.3">
      <c r="A31" s="13">
        <v>45900</v>
      </c>
      <c r="B31" s="17">
        <v>990189.25</v>
      </c>
      <c r="C31" s="17">
        <v>1092399</v>
      </c>
      <c r="D31" s="17">
        <v>2082588.25</v>
      </c>
    </row>
    <row r="32" spans="1:4" x14ac:dyDescent="0.3">
      <c r="A32" s="13">
        <v>45930</v>
      </c>
      <c r="B32" s="17">
        <v>1107650</v>
      </c>
      <c r="C32" s="17">
        <v>1021922</v>
      </c>
      <c r="D32" s="17">
        <v>2129572</v>
      </c>
    </row>
    <row r="33" spans="1:4" x14ac:dyDescent="0.3">
      <c r="A33" s="13">
        <v>45961</v>
      </c>
      <c r="B33" s="17">
        <v>1016706.25</v>
      </c>
      <c r="C33" s="17">
        <v>1188028</v>
      </c>
      <c r="D33" s="17">
        <v>2204734.25</v>
      </c>
    </row>
    <row r="34" spans="1:4" x14ac:dyDescent="0.3">
      <c r="A34" s="13">
        <v>45991</v>
      </c>
      <c r="B34" s="17">
        <v>1023592.416666667</v>
      </c>
      <c r="C34" s="17">
        <v>1142771</v>
      </c>
      <c r="D34" s="17">
        <v>2166363.416666667</v>
      </c>
    </row>
    <row r="35" spans="1:4" x14ac:dyDescent="0.3">
      <c r="A35" s="13">
        <v>46022</v>
      </c>
      <c r="B35" s="17">
        <v>1061868.333333333</v>
      </c>
      <c r="C35" s="17">
        <v>1167716</v>
      </c>
      <c r="D35" s="17">
        <v>2229584.333333333</v>
      </c>
    </row>
    <row r="36" spans="1:4" x14ac:dyDescent="0.3">
      <c r="A36" s="13">
        <v>46053</v>
      </c>
      <c r="B36" s="17">
        <v>1059106.166666667</v>
      </c>
      <c r="C36" s="17">
        <v>1079077</v>
      </c>
      <c r="D36" s="17">
        <v>2138183.166666667</v>
      </c>
    </row>
    <row r="37" spans="1:4" x14ac:dyDescent="0.3">
      <c r="A37" s="13">
        <v>46081</v>
      </c>
      <c r="B37" s="17">
        <v>1070745.416666667</v>
      </c>
      <c r="C37" s="17">
        <v>1074950</v>
      </c>
      <c r="D37" s="17">
        <v>2145695.416666667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showGridLines="0" workbookViewId="0">
      <selection sqref="A1:H2"/>
    </sheetView>
  </sheetViews>
  <sheetFormatPr defaultRowHeight="14.4" x14ac:dyDescent="0.3"/>
  <cols>
    <col min="1" max="1" width="110" customWidth="1"/>
  </cols>
  <sheetData>
    <row r="1" spans="1:8" ht="24" customHeight="1" x14ac:dyDescent="0.3">
      <c r="A1" s="78" t="s">
        <v>147</v>
      </c>
      <c r="B1" s="73"/>
      <c r="C1" s="73"/>
      <c r="D1" s="73"/>
      <c r="E1" s="73"/>
      <c r="F1" s="73"/>
      <c r="G1" s="73"/>
      <c r="H1" s="73"/>
    </row>
    <row r="2" spans="1:8" ht="24" customHeight="1" x14ac:dyDescent="0.3">
      <c r="A2" s="73"/>
      <c r="B2" s="73"/>
      <c r="C2" s="73"/>
      <c r="D2" s="73"/>
      <c r="E2" s="73"/>
      <c r="F2" s="73"/>
      <c r="G2" s="73"/>
      <c r="H2" s="73"/>
    </row>
    <row r="4" spans="1:8" x14ac:dyDescent="0.3">
      <c r="A4" s="40" t="s">
        <v>148</v>
      </c>
    </row>
    <row r="5" spans="1:8" x14ac:dyDescent="0.3">
      <c r="A5" s="40" t="s">
        <v>149</v>
      </c>
    </row>
    <row r="6" spans="1:8" x14ac:dyDescent="0.3">
      <c r="A6" s="40" t="s">
        <v>150</v>
      </c>
    </row>
    <row r="7" spans="1:8" x14ac:dyDescent="0.3">
      <c r="A7" s="40" t="s">
        <v>151</v>
      </c>
    </row>
    <row r="8" spans="1:8" x14ac:dyDescent="0.3">
      <c r="A8" s="40" t="s">
        <v>152</v>
      </c>
    </row>
    <row r="9" spans="1:8" x14ac:dyDescent="0.3">
      <c r="A9" s="40" t="s">
        <v>153</v>
      </c>
    </row>
    <row r="10" spans="1:8" x14ac:dyDescent="0.3">
      <c r="A10" s="40"/>
    </row>
    <row r="11" spans="1:8" x14ac:dyDescent="0.3">
      <c r="A11" s="40" t="s">
        <v>154</v>
      </c>
    </row>
    <row r="12" spans="1:8" x14ac:dyDescent="0.3">
      <c r="A12" s="40" t="s">
        <v>155</v>
      </c>
    </row>
    <row r="13" spans="1:8" x14ac:dyDescent="0.3">
      <c r="A13" s="40" t="s">
        <v>156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Analysis</vt:lpstr>
      <vt:lpstr>Inputs</vt:lpstr>
      <vt:lpstr>Model_PnL</vt:lpstr>
      <vt:lpstr>Forecast Engine</vt:lpstr>
      <vt:lpstr>Raw_Sales</vt:lpstr>
      <vt:lpstr>Raw_Opex</vt:lpstr>
      <vt:lpstr>Agg_Monthly</vt:lpstr>
      <vt:lpstr>Agg_Opex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Tembo</dc:creator>
  <cp:lastModifiedBy>MATTHEW TEMBO</cp:lastModifiedBy>
  <dcterms:created xsi:type="dcterms:W3CDTF">2026-03-18T07:42:50Z</dcterms:created>
  <dcterms:modified xsi:type="dcterms:W3CDTF">2026-03-18T20:32:24Z</dcterms:modified>
</cp:coreProperties>
</file>